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bb2b26b9debb3e/Documents/"/>
    </mc:Choice>
  </mc:AlternateContent>
  <xr:revisionPtr revIDLastSave="0" documentId="14_{716B6579-2689-4199-967A-B223F9CFF64D}" xr6:coauthVersionLast="47" xr6:coauthVersionMax="47" xr10:uidLastSave="{00000000-0000-0000-0000-000000000000}"/>
  <bookViews>
    <workbookView xWindow="-108" yWindow="-108" windowWidth="23256" windowHeight="12456" activeTab="4" xr2:uid="{6691F966-DBBC-4791-83A5-DEF70DB27EBD}"/>
  </bookViews>
  <sheets>
    <sheet name="Sales" sheetId="1" r:id="rId1"/>
    <sheet name="Marketing" sheetId="2" r:id="rId2"/>
    <sheet name="HR" sheetId="3" r:id="rId3"/>
    <sheet name="Finance" sheetId="4" r:id="rId4"/>
    <sheet name="Insurance" sheetId="5" r:id="rId5"/>
  </sheets>
  <definedNames>
    <definedName name="_xlchart.v1.0" hidden="1">HR!$A$23:$E$23</definedName>
    <definedName name="_xlchart.v1.1" hidden="1">HR!$F$23</definedName>
    <definedName name="_xlchart.v1.2" hidden="1">HR!$F$3:$F$22</definedName>
    <definedName name="_xlchart.v1.3" hidden="1">HR!$A$23:$E$23</definedName>
    <definedName name="_xlchart.v1.4" hidden="1">HR!$F$23</definedName>
    <definedName name="_xlchart.v1.5" hidden="1">HR!$F$3:$F$22</definedName>
    <definedName name="_xlchart.v1.6" hidden="1">HR!$A$23:$E$23</definedName>
    <definedName name="_xlchart.v1.7" hidden="1">HR!$F$23</definedName>
    <definedName name="_xlchart.v1.8" hidden="1">HR!$F$3:$F$22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5" l="1"/>
  <c r="O21" i="3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4" i="2"/>
  <c r="J8" i="2" s="1"/>
  <c r="O13" i="3"/>
  <c r="O13" i="5"/>
  <c r="O14" i="3"/>
  <c r="N9" i="4"/>
  <c r="S12" i="4"/>
  <c r="S13" i="4"/>
  <c r="O12" i="5"/>
  <c r="O14" i="5"/>
  <c r="S14" i="4"/>
  <c r="O6" i="5"/>
  <c r="S6" i="4"/>
  <c r="O22" i="3"/>
  <c r="O20" i="3"/>
  <c r="J6" i="3"/>
  <c r="J14" i="5"/>
  <c r="O6" i="3"/>
  <c r="O5" i="5"/>
  <c r="O4" i="5"/>
  <c r="S5" i="4"/>
  <c r="S4" i="4"/>
  <c r="O5" i="3"/>
  <c r="O4" i="3"/>
  <c r="N20" i="4"/>
  <c r="N17" i="4"/>
  <c r="N18" i="4"/>
  <c r="N19" i="4"/>
  <c r="J8" i="5"/>
  <c r="J7" i="5"/>
  <c r="J6" i="5"/>
  <c r="J5" i="5"/>
  <c r="J4" i="5"/>
  <c r="N8" i="4"/>
  <c r="N7" i="4"/>
  <c r="N6" i="4"/>
  <c r="N5" i="4"/>
  <c r="N4" i="4"/>
  <c r="O13" i="2"/>
  <c r="O12" i="2"/>
  <c r="O6" i="2"/>
  <c r="P6" i="1"/>
  <c r="O18" i="2"/>
  <c r="O22" i="2"/>
  <c r="O21" i="2"/>
  <c r="O20" i="2"/>
  <c r="O19" i="2"/>
  <c r="O5" i="2"/>
  <c r="O4" i="2"/>
  <c r="P13" i="1"/>
  <c r="O14" i="2"/>
  <c r="P14" i="1"/>
  <c r="S17" i="4"/>
  <c r="S18" i="4"/>
  <c r="S20" i="4"/>
  <c r="S19" i="4"/>
  <c r="S21" i="4"/>
  <c r="O18" i="5"/>
  <c r="O23" i="3"/>
  <c r="O19" i="3"/>
  <c r="P18" i="1"/>
  <c r="O21" i="5"/>
  <c r="O20" i="5"/>
  <c r="O19" i="5"/>
  <c r="J13" i="5"/>
  <c r="J21" i="5"/>
  <c r="J8" i="3"/>
  <c r="J7" i="3"/>
  <c r="J5" i="3"/>
  <c r="J4" i="3"/>
  <c r="J20" i="5"/>
  <c r="J19" i="5"/>
  <c r="J18" i="5"/>
  <c r="J22" i="3"/>
  <c r="J21" i="3"/>
  <c r="J20" i="3"/>
  <c r="J19" i="3"/>
  <c r="J21" i="2"/>
  <c r="J20" i="2"/>
  <c r="J19" i="2"/>
  <c r="J18" i="2"/>
  <c r="J12" i="5"/>
  <c r="N14" i="4"/>
  <c r="N13" i="4"/>
  <c r="N12" i="4"/>
  <c r="J15" i="3"/>
  <c r="J14" i="3"/>
  <c r="J13" i="3"/>
  <c r="J14" i="2"/>
  <c r="J13" i="2"/>
  <c r="J12" i="2"/>
  <c r="K14" i="1"/>
  <c r="K13" i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4" i="4"/>
  <c r="E5" i="4"/>
  <c r="G5" i="4" s="1"/>
  <c r="E6" i="4"/>
  <c r="G6" i="4" s="1"/>
  <c r="E7" i="4"/>
  <c r="G7" i="4" s="1"/>
  <c r="E8" i="4"/>
  <c r="G8" i="4" s="1"/>
  <c r="E9" i="4"/>
  <c r="G9" i="4" s="1"/>
  <c r="E10" i="4"/>
  <c r="G10" i="4" s="1"/>
  <c r="E11" i="4"/>
  <c r="G11" i="4" s="1"/>
  <c r="E12" i="4"/>
  <c r="G12" i="4" s="1"/>
  <c r="E13" i="4"/>
  <c r="G13" i="4" s="1"/>
  <c r="E14" i="4"/>
  <c r="G14" i="4" s="1"/>
  <c r="E15" i="4"/>
  <c r="G15" i="4" s="1"/>
  <c r="E16" i="4"/>
  <c r="G16" i="4" s="1"/>
  <c r="E17" i="4"/>
  <c r="G17" i="4" s="1"/>
  <c r="E18" i="4"/>
  <c r="G18" i="4" s="1"/>
  <c r="E19" i="4"/>
  <c r="G19" i="4" s="1"/>
  <c r="E20" i="4"/>
  <c r="G20" i="4" s="1"/>
  <c r="E21" i="4"/>
  <c r="G21" i="4" s="1"/>
  <c r="E22" i="4"/>
  <c r="G22" i="4" s="1"/>
  <c r="E23" i="4"/>
  <c r="G23" i="4" s="1"/>
  <c r="E4" i="4"/>
  <c r="G4" i="4" s="1"/>
  <c r="O15" i="3"/>
  <c r="P12" i="1"/>
  <c r="P20" i="1"/>
  <c r="P21" i="1"/>
  <c r="P22" i="1"/>
  <c r="P19" i="1"/>
  <c r="P5" i="1"/>
  <c r="P4" i="1"/>
  <c r="K21" i="1"/>
  <c r="K20" i="1"/>
  <c r="K19" i="1"/>
  <c r="K18" i="1"/>
  <c r="K12" i="1"/>
  <c r="K9" i="1"/>
  <c r="K8" i="1"/>
  <c r="K7" i="1"/>
  <c r="K6" i="1"/>
  <c r="K4" i="1"/>
  <c r="K5" i="1"/>
  <c r="J4" i="2" l="1"/>
  <c r="J5" i="2"/>
  <c r="J6" i="2"/>
  <c r="J7" i="2"/>
</calcChain>
</file>

<file path=xl/sharedStrings.xml><?xml version="1.0" encoding="utf-8"?>
<sst xmlns="http://schemas.openxmlformats.org/spreadsheetml/2006/main" count="460" uniqueCount="179">
  <si>
    <t>Date</t>
  </si>
  <si>
    <t>Product</t>
  </si>
  <si>
    <t>Region</t>
  </si>
  <si>
    <t>Sales Amount</t>
  </si>
  <si>
    <t>Profit</t>
  </si>
  <si>
    <t>Laptop</t>
  </si>
  <si>
    <t>Mobile</t>
  </si>
  <si>
    <t>Printer</t>
  </si>
  <si>
    <t>Tablet</t>
  </si>
  <si>
    <t>Headphones</t>
  </si>
  <si>
    <t>Monitor</t>
  </si>
  <si>
    <t>Keyboard</t>
  </si>
  <si>
    <t>Mouse</t>
  </si>
  <si>
    <t>Smartwatch</t>
  </si>
  <si>
    <t>Speaker</t>
  </si>
  <si>
    <t>TV</t>
  </si>
  <si>
    <t>AC</t>
  </si>
  <si>
    <t>Cooler</t>
  </si>
  <si>
    <t>Washing Machine</t>
  </si>
  <si>
    <t>Camera</t>
  </si>
  <si>
    <t>Refrigerator</t>
  </si>
  <si>
    <t>Microwave</t>
  </si>
  <si>
    <t>Mixer</t>
  </si>
  <si>
    <t>Iron</t>
  </si>
  <si>
    <t>Fan</t>
  </si>
  <si>
    <t>North</t>
  </si>
  <si>
    <t>South</t>
  </si>
  <si>
    <t>East</t>
  </si>
  <si>
    <t>West</t>
  </si>
  <si>
    <t>DAILY SALES REPORT</t>
  </si>
  <si>
    <t>Mathematical Function</t>
  </si>
  <si>
    <t>Total Sales Amount =</t>
  </si>
  <si>
    <t>Count of Sales =</t>
  </si>
  <si>
    <t>Average of Sales =</t>
  </si>
  <si>
    <t>Total Min Sales =</t>
  </si>
  <si>
    <t>Total Profit =</t>
  </si>
  <si>
    <t>Total Max Sales =</t>
  </si>
  <si>
    <t>logical Function</t>
  </si>
  <si>
    <t>If  (Min Sales )</t>
  </si>
  <si>
    <t>And (True / False)</t>
  </si>
  <si>
    <t>Or (True/ False)</t>
  </si>
  <si>
    <t>text function</t>
  </si>
  <si>
    <t>Concat (b6+c6)</t>
  </si>
  <si>
    <t>date function</t>
  </si>
  <si>
    <t>Today =</t>
  </si>
  <si>
    <t>Now =</t>
  </si>
  <si>
    <t>Datedif (of start to end Sales)</t>
  </si>
  <si>
    <t>lookup function</t>
  </si>
  <si>
    <t xml:space="preserve">vlookup </t>
  </si>
  <si>
    <t>hlookup</t>
  </si>
  <si>
    <t>xlookup</t>
  </si>
  <si>
    <t>Standard Deviation</t>
  </si>
  <si>
    <t>Mean (D4:D33)</t>
  </si>
  <si>
    <t>Median (D4:D33)</t>
  </si>
  <si>
    <t>Correlation (D2:D33,E2:E33)</t>
  </si>
  <si>
    <t>Mode (mode.sngl(D4:D33))</t>
  </si>
  <si>
    <t>EXCEL FUNCTIONS</t>
  </si>
  <si>
    <t>STATISTICAL FUNCTION</t>
  </si>
  <si>
    <t>Sr No.</t>
  </si>
  <si>
    <t>Policy Number</t>
  </si>
  <si>
    <t>Customer Age</t>
  </si>
  <si>
    <t>Policy Type</t>
  </si>
  <si>
    <t>POL1001</t>
  </si>
  <si>
    <t>Life</t>
  </si>
  <si>
    <t>POL1002</t>
  </si>
  <si>
    <t>Health</t>
  </si>
  <si>
    <t>POL1003</t>
  </si>
  <si>
    <t>Vehicle</t>
  </si>
  <si>
    <t>POL1004</t>
  </si>
  <si>
    <t>POL1005</t>
  </si>
  <si>
    <t>POL1006</t>
  </si>
  <si>
    <t>Home</t>
  </si>
  <si>
    <t>POL1007</t>
  </si>
  <si>
    <t>POL1008</t>
  </si>
  <si>
    <t>POL1009</t>
  </si>
  <si>
    <t>POL1010</t>
  </si>
  <si>
    <t>POL1011</t>
  </si>
  <si>
    <t>POL1012</t>
  </si>
  <si>
    <t>POL1013</t>
  </si>
  <si>
    <t>POL1014</t>
  </si>
  <si>
    <t>POL1015</t>
  </si>
  <si>
    <t>POL1016</t>
  </si>
  <si>
    <t>POL1017</t>
  </si>
  <si>
    <t>POL1018</t>
  </si>
  <si>
    <t>POL1019</t>
  </si>
  <si>
    <t>POL1020</t>
  </si>
  <si>
    <t>Claim Amount</t>
  </si>
  <si>
    <t>DAILY INSURANCE REPORT</t>
  </si>
  <si>
    <t>DAILY FINANCE REPORT</t>
  </si>
  <si>
    <t>Price</t>
  </si>
  <si>
    <t>Quantity</t>
  </si>
  <si>
    <t>Revenue</t>
  </si>
  <si>
    <t>Expenses</t>
  </si>
  <si>
    <t>Sr No</t>
  </si>
  <si>
    <t>Leads Generated</t>
  </si>
  <si>
    <t>Conversion Rate (%)</t>
  </si>
  <si>
    <t>DAILY MARKETING REPORT</t>
  </si>
  <si>
    <t>Employee ID</t>
  </si>
  <si>
    <t>Department</t>
  </si>
  <si>
    <t>Attrition</t>
  </si>
  <si>
    <t>EMP001</t>
  </si>
  <si>
    <t>HR</t>
  </si>
  <si>
    <t>No</t>
  </si>
  <si>
    <t>EMP002</t>
  </si>
  <si>
    <t>Finance</t>
  </si>
  <si>
    <t>EMP003</t>
  </si>
  <si>
    <t>IT</t>
  </si>
  <si>
    <t>Yes</t>
  </si>
  <si>
    <t>EMP004</t>
  </si>
  <si>
    <t>Marketing</t>
  </si>
  <si>
    <t>EMP005</t>
  </si>
  <si>
    <t>Sales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</si>
  <si>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</si>
  <si>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</si>
  <si>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</si>
  <si>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</si>
  <si>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</si>
  <si>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</si>
  <si>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</si>
  <si>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</si>
  <si>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</si>
  <si>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</si>
  <si>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</si>
  <si>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</si>
  <si>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</si>
  <si>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</si>
  <si>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</si>
  <si>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 xml:space="preserve">Experience </t>
  </si>
  <si>
    <t>Shoes</t>
  </si>
  <si>
    <t>Shirt</t>
  </si>
  <si>
    <t>Watch</t>
  </si>
  <si>
    <t>Bag</t>
  </si>
  <si>
    <t>Oven</t>
  </si>
  <si>
    <t>Sofa</t>
  </si>
  <si>
    <t>Left (C5,3)</t>
  </si>
  <si>
    <t>Right (C6,6)</t>
  </si>
  <si>
    <t>Mid (B12,2,3)</t>
  </si>
  <si>
    <t>Budget</t>
  </si>
  <si>
    <t>Actual</t>
  </si>
  <si>
    <t>Variance</t>
  </si>
  <si>
    <t>Total Cost</t>
  </si>
  <si>
    <t>Salary</t>
  </si>
  <si>
    <t>Premium</t>
  </si>
  <si>
    <t>DAILY IT REPORT</t>
  </si>
  <si>
    <t>Row Labels</t>
  </si>
  <si>
    <t>Grand Total</t>
  </si>
  <si>
    <t>Sum of Sales Amount</t>
  </si>
  <si>
    <t>Count of Attrition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</si>
  <si>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</si>
  <si>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</si>
  <si>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</si>
  <si>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</si>
  <si>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</si>
  <si>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</si>
  <si>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</si>
  <si>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</si>
  <si>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</si>
  <si>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</si>
  <si>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</si>
  <si>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</si>
  <si>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</si>
  <si>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</si>
  <si>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</si>
  <si>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</si>
  <si>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</si>
  <si>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</si>
  <si>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</si>
  <si>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</si>
  <si>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 xml:space="preserve">Campaign </t>
  </si>
  <si>
    <t>Sum of Expenses</t>
  </si>
  <si>
    <t>Sum of Total Cost</t>
  </si>
  <si>
    <t>Sales (L*CR)</t>
  </si>
  <si>
    <t>Sum of Sales (L*CR)</t>
  </si>
  <si>
    <t>Sum of Premium</t>
  </si>
  <si>
    <t>Total Salary Amount =</t>
  </si>
  <si>
    <t>Count of Salary =</t>
  </si>
  <si>
    <t>Average of Salary =</t>
  </si>
  <si>
    <t>Total Min Salary =</t>
  </si>
  <si>
    <t>Total Max Salary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</si>
</sst>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8"/>
      <color theme="0"/>
      <name val="Algerian"/>
      <family val="5"/>
    </font>
    <font>
      <sz val="16"/>
      <color theme="0"/>
      <name val="Algerian"/>
      <family val="5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7">
    <xf numFmtId="0" fontId="0" fillId="0" borderId="0" xfId="0"/>
    <xf numFmtId="14" fontId="1" fillId="2" borderId="1" xfId="1" applyNumberFormat="1"/>
    <xf numFmtId="0" fontId="1" fillId="2" borderId="1" xfId="1"/>
    <xf numFmtId="14" fontId="1" fillId="2" borderId="5" xfId="1" applyNumberFormat="1" applyBorder="1"/>
    <xf numFmtId="0" fontId="1" fillId="2" borderId="5" xfId="1" applyBorder="1"/>
    <xf numFmtId="0" fontId="2" fillId="4" borderId="0" xfId="0" applyFont="1" applyFill="1"/>
    <xf numFmtId="0" fontId="0" fillId="0" borderId="0" xfId="0" applyAlignment="1">
      <alignment vertical="center" wrapText="1"/>
    </xf>
    <xf numFmtId="0" fontId="1" fillId="2" borderId="1" xfId="1" applyAlignment="1">
      <alignment vertical="center" wrapText="1"/>
    </xf>
    <xf numFmtId="0" fontId="2" fillId="4" borderId="2" xfId="0" applyFont="1" applyFill="1" applyBorder="1" applyAlignment="1">
      <alignment horizontal="center" vertical="center"/>
    </xf>
    <xf numFmtId="0" fontId="1" fillId="2" borderId="1" xfId="1" applyAlignment="1">
      <alignment vertical="center"/>
    </xf>
    <xf numFmtId="0" fontId="2" fillId="4" borderId="3" xfId="0" applyFont="1" applyFill="1" applyBorder="1" applyAlignment="1">
      <alignment horizontal="center"/>
    </xf>
    <xf numFmtId="0" fontId="2" fillId="4" borderId="2" xfId="0" applyFont="1" applyFill="1" applyBorder="1"/>
    <xf numFmtId="0" fontId="1" fillId="2" borderId="2" xfId="1" applyBorder="1"/>
    <xf numFmtId="0" fontId="2" fillId="4" borderId="6" xfId="0" applyFont="1" applyFill="1" applyBorder="1" applyAlignment="1">
      <alignment horizontal="center" vertical="center"/>
    </xf>
    <xf numFmtId="0" fontId="1" fillId="2" borderId="7" xfId="1" applyBorder="1" applyAlignment="1">
      <alignment vertical="center" wrapText="1"/>
    </xf>
    <xf numFmtId="0" fontId="1" fillId="2" borderId="7" xfId="1" applyBorder="1" applyAlignment="1">
      <alignment vertical="center"/>
    </xf>
    <xf numFmtId="0" fontId="1" fillId="2" borderId="7" xfId="1" applyBorder="1"/>
    <xf numFmtId="2" fontId="1" fillId="2" borderId="8" xfId="1" applyNumberFormat="1" applyBorder="1"/>
    <xf numFmtId="0" fontId="2" fillId="4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5" fillId="0" borderId="2" xfId="0" applyFont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5" fillId="0" borderId="2" xfId="0" pivotButton="1" applyFont="1" applyBorder="1"/>
    <xf numFmtId="0" fontId="2" fillId="4" borderId="9" xfId="0" applyFont="1" applyFill="1" applyBorder="1" applyAlignment="1">
      <alignment horizontal="center" vertical="center"/>
    </xf>
    <xf numFmtId="10" fontId="1" fillId="2" borderId="7" xfId="1" applyNumberFormat="1" applyBorder="1" applyAlignment="1">
      <alignment vertical="center"/>
    </xf>
    <xf numFmtId="0" fontId="1" fillId="2" borderId="1" xfId="1" applyNumberFormat="1"/>
    <xf numFmtId="0" fontId="3" fillId="3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1" fillId="2" borderId="1" xfId="1" applyAlignment="1">
      <alignment horizontal="left"/>
    </xf>
    <xf numFmtId="0" fontId="1" fillId="2" borderId="1" xfId="1" applyAlignment="1">
      <alignment horizontal="right"/>
    </xf>
    <xf numFmtId="14" fontId="1" fillId="2" borderId="1" xfId="1" applyNumberFormat="1" applyAlignment="1">
      <alignment horizontal="right"/>
    </xf>
    <xf numFmtId="22" fontId="1" fillId="2" borderId="1" xfId="1" applyNumberFormat="1" applyAlignment="1">
      <alignment horizontal="right"/>
    </xf>
    <xf numFmtId="2" fontId="1" fillId="2" borderId="7" xfId="1" applyNumberFormat="1" applyBorder="1" applyAlignment="1">
      <alignment horizontal="right"/>
    </xf>
    <xf numFmtId="2" fontId="1" fillId="2" borderId="8" xfId="1" applyNumberFormat="1" applyBorder="1" applyAlignment="1">
      <alignment horizontal="right"/>
    </xf>
    <xf numFmtId="0" fontId="1" fillId="2" borderId="7" xfId="1" applyBorder="1" applyAlignment="1">
      <alignment horizontal="right"/>
    </xf>
    <xf numFmtId="0" fontId="1" fillId="2" borderId="8" xfId="1" applyBorder="1" applyAlignment="1">
      <alignment horizontal="right"/>
    </xf>
    <xf numFmtId="0" fontId="1" fillId="2" borderId="1" xfId="1" applyNumberFormat="1" applyAlignment="1">
      <alignment horizontal="right"/>
    </xf>
    <xf numFmtId="0" fontId="4" fillId="4" borderId="2" xfId="0" applyFont="1" applyFill="1" applyBorder="1" applyAlignment="1">
      <alignment horizontal="center"/>
    </xf>
    <xf numFmtId="0" fontId="1" fillId="2" borderId="2" xfId="1" applyBorder="1" applyAlignment="1">
      <alignment horizontal="left"/>
    </xf>
    <xf numFmtId="2" fontId="1" fillId="2" borderId="2" xfId="1" applyNumberFormat="1" applyBorder="1" applyAlignment="1">
      <alignment horizontal="right"/>
    </xf>
    <xf numFmtId="0" fontId="1" fillId="2" borderId="4" xfId="1" applyBorder="1" applyAlignment="1">
      <alignment horizontal="left"/>
    </xf>
    <xf numFmtId="2" fontId="1" fillId="2" borderId="4" xfId="1" applyNumberFormat="1" applyBorder="1" applyAlignment="1">
      <alignment horizontal="right"/>
    </xf>
    <xf numFmtId="2" fontId="1" fillId="2" borderId="1" xfId="1" applyNumberFormat="1" applyAlignment="1">
      <alignment horizontal="right"/>
    </xf>
    <xf numFmtId="0" fontId="3" fillId="3" borderId="10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</cellXfs>
  <cellStyles count="2">
    <cellStyle name="Normal" xfId="0" builtinId="0"/>
    <cellStyle name="Output" xfId="1" builtinId="21"/>
  </cellStyles>
  <dxfs count="50"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3F"/>
        <name val="Aptos Narrow"/>
        <family val="2"/>
        <scheme val="minor"/>
      </font>
      <fill>
        <patternFill patternType="solid">
          <fgColor indexed="65"/>
          <bgColor rgb="FFF2F2F2"/>
        </patternFill>
      </fill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 Project 1.xlsx]Sales!PivotTable2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COMPARISON</a:t>
            </a:r>
            <a:endParaRPr lang="en-US"/>
          </a:p>
        </c:rich>
      </c:tx>
      <c:layout>
        <c:manualLayout>
          <c:xMode val="edge"/>
          <c:yMode val="edge"/>
          <c:x val="0.20911811023622048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Sales!$J$23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Sales!$I$24:$I$28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Sales!$J$24:$J$28</c:f>
              <c:numCache>
                <c:formatCode>General</c:formatCode>
                <c:ptCount val="4"/>
                <c:pt idx="0">
                  <c:v>123500</c:v>
                </c:pt>
                <c:pt idx="1">
                  <c:v>213000</c:v>
                </c:pt>
                <c:pt idx="2">
                  <c:v>173000</c:v>
                </c:pt>
                <c:pt idx="3">
                  <c:v>130500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E-4040-AB4D-38F61B1ED9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59143792"/>
        <c:axId val="1159145712"/>
      </c:barChart>
      <c:catAx>
        <c:axId val="1159143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145712"/>
        <c:crosses val="autoZero"/>
        <c:auto val="1"/>
        <c:lblAlgn val="ctr"/>
        <c:lblOffset val="100"/>
        <c:noMultiLvlLbl val="0"/>
      </c:catAx>
      <c:valAx>
        <c:axId val="115914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14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 Project 1.xlsx]HR!PivotTable4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DEPARTMENT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HR!$B$25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8A8-4E87-9F60-E1384BA0229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8A8-4E87-9F60-E1384BA0229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8A8-4E87-9F60-E1384BA0229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8A8-4E87-9F60-E1384BA0229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8A8-4E87-9F60-E1384BA022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HR!$A$26:$A$31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HR!$B$26:$B$31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F9-4C2B-BC76-43ED168EFA5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[Map Project 1.xlsx]Finance!PivotTable6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TRENDS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Finance!$D$25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Finance!$C$26:$C$46</c:f>
              <c:strCache>
                <c:ptCount val="20"/>
                <c:pt idx="0">
                  <c:v>AC</c:v>
                </c:pt>
                <c:pt idx="1">
                  <c:v>Bag</c:v>
                </c:pt>
                <c:pt idx="2">
                  <c:v>Camera</c:v>
                </c:pt>
                <c:pt idx="3">
                  <c:v>Fan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Mixer</c:v>
                </c:pt>
                <c:pt idx="8">
                  <c:v>Mobile</c:v>
                </c:pt>
                <c:pt idx="9">
                  <c:v>Mouse</c:v>
                </c:pt>
                <c:pt idx="10">
                  <c:v>Oven</c:v>
                </c:pt>
                <c:pt idx="11">
                  <c:v>Printer</c:v>
                </c:pt>
                <c:pt idx="12">
                  <c:v>Refrigerator</c:v>
                </c:pt>
                <c:pt idx="13">
                  <c:v>Shirt</c:v>
                </c:pt>
                <c:pt idx="14">
                  <c:v>Shoes</c:v>
                </c:pt>
                <c:pt idx="15">
                  <c:v>Sofa</c:v>
                </c:pt>
                <c:pt idx="16">
                  <c:v>Speaker</c:v>
                </c:pt>
                <c:pt idx="17">
                  <c:v>Tablet</c:v>
                </c:pt>
                <c:pt idx="18">
                  <c:v>TV</c:v>
                </c:pt>
                <c:pt idx="19">
                  <c:v>Watch</c:v>
                </c:pt>
              </c:strCache>
            </c:strRef>
          </c:cat>
          <c:val>
            <c:numRef>
              <c:f>Finance!$D$26:$D$46</c:f>
              <c:numCache>
                <c:formatCode>General</c:formatCode>
                <c:ptCount val="20"/>
                <c:pt idx="0">
                  <c:v>25000</c:v>
                </c:pt>
                <c:pt idx="1">
                  <c:v>10000</c:v>
                </c:pt>
                <c:pt idx="2">
                  <c:v>7000</c:v>
                </c:pt>
                <c:pt idx="3">
                  <c:v>4000</c:v>
                </c:pt>
                <c:pt idx="4">
                  <c:v>40000</c:v>
                </c:pt>
                <c:pt idx="5">
                  <c:v>12000</c:v>
                </c:pt>
                <c:pt idx="6">
                  <c:v>50000</c:v>
                </c:pt>
                <c:pt idx="7">
                  <c:v>18000</c:v>
                </c:pt>
                <c:pt idx="8">
                  <c:v>12000</c:v>
                </c:pt>
                <c:pt idx="9">
                  <c:v>5000</c:v>
                </c:pt>
                <c:pt idx="10">
                  <c:v>22000</c:v>
                </c:pt>
                <c:pt idx="11">
                  <c:v>2000</c:v>
                </c:pt>
                <c:pt idx="12">
                  <c:v>200000</c:v>
                </c:pt>
                <c:pt idx="13">
                  <c:v>8000</c:v>
                </c:pt>
                <c:pt idx="14">
                  <c:v>15000</c:v>
                </c:pt>
                <c:pt idx="15">
                  <c:v>10000</c:v>
                </c:pt>
                <c:pt idx="16">
                  <c:v>9000</c:v>
                </c:pt>
                <c:pt idx="17">
                  <c:v>15000</c:v>
                </c:pt>
                <c:pt idx="18">
                  <c:v>3000</c:v>
                </c:pt>
                <c:pt idx="19">
                  <c:v>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E6-455B-A4AE-6442780E1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3133520"/>
        <c:axId val="1403135920"/>
      </c:lineChart>
      <c:catAx>
        <c:axId val="140313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135920"/>
        <c:crosses val="autoZero"/>
        <c:auto val="1"/>
        <c:lblAlgn val="ctr"/>
        <c:lblOffset val="100"/>
        <c:noMultiLvlLbl val="0"/>
      </c:catAx>
      <c:valAx>
        <c:axId val="140313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13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22</xdr:row>
      <xdr:rowOff>148590</xdr:rowOff>
    </xdr:from>
    <xdr:to>
      <xdr:col>16</xdr:col>
      <xdr:colOff>525780</xdr:colOff>
      <xdr:row>37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F14C25-422F-D26D-03BD-C34A30B5D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23</xdr:row>
      <xdr:rowOff>140970</xdr:rowOff>
    </xdr:from>
    <xdr:to>
      <xdr:col>8</xdr:col>
      <xdr:colOff>594360</xdr:colOff>
      <xdr:row>38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DA76A9-8E98-7C9D-F1B5-97673A345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23</xdr:row>
      <xdr:rowOff>163830</xdr:rowOff>
    </xdr:from>
    <xdr:to>
      <xdr:col>10</xdr:col>
      <xdr:colOff>198120</xdr:colOff>
      <xdr:row>38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6DA4DB-9779-AEBB-F88E-C19200DC9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2.778781944442" createdVersion="8" refreshedVersion="8" minRefreshableVersion="3" recordCount="30" xr:uid="{1694B1F6-BF22-47EC-A44F-FDC90A974F55}">
  <cacheSource type="worksheet">
    <worksheetSource ref="A3:F33" sheet="Sales"/>
  </cacheSource>
  <cacheFields count="6">
    <cacheField name="Sr No." numFmtId="0">
      <sharedItems containsSemiMixedTypes="0" containsString="0" containsNumber="1" containsInteger="1" minValue="1" maxValue="30"/>
    </cacheField>
    <cacheField name="Date" numFmtId="14">
      <sharedItems containsSemiMixedTypes="0" containsNonDate="0" containsDate="1" containsString="0" minDate="2026-01-01T00:00:00" maxDate="2026-01-31T00:00:00"/>
    </cacheField>
    <cacheField name="Product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Sales Amount" numFmtId="0">
      <sharedItems containsSemiMixedTypes="0" containsString="0" containsNumber="1" containsInteger="1" minValue="2500" maxValue="65000" count="27">
        <n v="55000"/>
        <n v="30000"/>
        <n v="15000"/>
        <n v="22000"/>
        <n v="8000"/>
        <n v="18000"/>
        <n v="4000"/>
        <n v="2500"/>
        <n v="12000"/>
        <n v="10000"/>
        <n v="45000"/>
        <n v="65000"/>
        <n v="40000"/>
        <n v="50000"/>
        <n v="35000"/>
        <n v="14000"/>
        <n v="6000"/>
        <n v="3000"/>
        <n v="5000"/>
        <n v="60000"/>
        <n v="28000"/>
        <n v="17000"/>
        <n v="21000"/>
        <n v="9000"/>
        <n v="20000"/>
        <n v="4500"/>
        <n v="11000"/>
      </sharedItems>
    </cacheField>
    <cacheField name="Profit" numFmtId="0">
      <sharedItems containsSemiMixedTypes="0" containsString="0" containsNumber="1" containsInteger="1" minValue="500" maxValue="9000"/>
    </cacheField>
  </cacheFields>
  <extLst>
    <ext xmlns:x14="http://schemas.microsoft.com/office/spreadsheetml/2009/9/main" uri="{725AE2AE-9491-48be-B2B4-4EB974FC3084}">
      <x14:pivotCacheDefinition pivotCacheId="171966263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2.785915046297" createdVersion="8" refreshedVersion="8" minRefreshableVersion="3" recordCount="20" xr:uid="{86DABD88-DA66-45D3-A5DB-85DBD800B4E3}">
  <cacheSource type="worksheet">
    <worksheetSource ref="A3:F23" sheet="HR"/>
  </cacheSource>
  <cacheFields count="6">
    <cacheField name="Sr No" numFmtId="0">
      <sharedItems containsSemiMixedTypes="0" containsString="0" containsNumber="1" containsInteger="1" minValue="1" maxValue="20"/>
    </cacheField>
    <cacheField name="Employee ID" numFmtId="0">
      <sharedItems/>
    </cacheField>
    <cacheField name="Department" numFmtId="0">
      <sharedItems count="5">
        <s v="HR"/>
        <s v="Finance"/>
        <s v="IT"/>
        <s v="Marketing"/>
        <s v="Sales"/>
      </sharedItems>
    </cacheField>
    <cacheField name="Salary" numFmtId="0">
      <sharedItems containsSemiMixedTypes="0" containsString="0" containsNumber="1" containsInteger="1" minValue="24000" maxValue="70000"/>
    </cacheField>
    <cacheField name="Experience " numFmtId="0">
      <sharedItems containsSemiMixedTypes="0" containsString="0" containsNumber="1" containsInteger="1" minValue="1" maxValue="10"/>
    </cacheField>
    <cacheField name="Attritio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51054245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2.792105671295" createdVersion="8" refreshedVersion="8" minRefreshableVersion="3" recordCount="20" xr:uid="{2B2C5C81-A556-4496-AB0B-6F2F0067D366}">
  <cacheSource type="worksheet">
    <worksheetSource ref="A3:J23" sheet="Finance"/>
  </cacheSource>
  <cacheFields count="10">
    <cacheField name="Sr No." numFmtId="0">
      <sharedItems containsSemiMixedTypes="0" containsString="0" containsNumber="1" containsInteger="1" minValue="1" maxValue="20"/>
    </cacheField>
    <cacheField name="Product" numFmtId="0">
      <sharedItems count="20">
        <s v="Laptop"/>
        <s v="Mobile"/>
        <s v="TV"/>
        <s v="Refrigerator"/>
        <s v="AC"/>
        <s v="Shoes"/>
        <s v="Shirt"/>
        <s v="Watch"/>
        <s v="Bag"/>
        <s v="Headphones"/>
        <s v="Printer"/>
        <s v="Tablet"/>
        <s v="Camera"/>
        <s v="Speaker"/>
        <s v="Keyboard"/>
        <s v="Mouse"/>
        <s v="Fan"/>
        <s v="Mixer"/>
        <s v="Oven"/>
        <s v="Sofa"/>
      </sharedItems>
    </cacheField>
    <cacheField name="Price" numFmtId="0">
      <sharedItems containsSemiMixedTypes="0" containsString="0" containsNumber="1" containsInteger="1" minValue="3" maxValue="60"/>
    </cacheField>
    <cacheField name="Quantity" numFmtId="0">
      <sharedItems containsSemiMixedTypes="0" containsString="0" containsNumber="1" containsInteger="1" minValue="800" maxValue="55000"/>
    </cacheField>
    <cacheField name="Revenue" numFmtId="0">
      <sharedItems containsSemiMixedTypes="0" containsString="0" containsNumber="1" containsInteger="1" minValue="42000" maxValue="500000"/>
    </cacheField>
    <cacheField name="Expenses" numFmtId="0">
      <sharedItems containsSemiMixedTypes="0" containsString="0" containsNumber="1" containsInteger="1" minValue="2000" maxValue="200000"/>
    </cacheField>
    <cacheField name="Profit" numFmtId="0">
      <sharedItems containsSemiMixedTypes="0" containsString="0" containsNumber="1" containsInteger="1" minValue="-50000" maxValue="450000"/>
    </cacheField>
    <cacheField name="Budget" numFmtId="0">
      <sharedItems containsSemiMixedTypes="0" containsString="0" containsNumber="1" containsInteger="1" minValue="2000" maxValue="500000"/>
    </cacheField>
    <cacheField name="Actual" numFmtId="0">
      <sharedItems containsSemiMixedTypes="0" containsString="0" containsNumber="1" containsInteger="1" minValue="2500" maxValue="550000"/>
    </cacheField>
    <cacheField name="Variance" numFmtId="2">
      <sharedItems containsSemiMixedTypes="0" containsString="0" containsNumber="1" minValue="-0.13333333333333333" maxValue="0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3.295198726853" createdVersion="8" refreshedVersion="8" minRefreshableVersion="3" recordCount="20" xr:uid="{52454552-7377-4A94-9F29-6C120A4B20D3}">
  <cacheSource type="worksheet">
    <worksheetSource ref="A3:F23" sheet="Marketing"/>
  </cacheSource>
  <cacheFields count="6">
    <cacheField name="Sr No" numFmtId="0">
      <sharedItems containsSemiMixedTypes="0" containsString="0" containsNumber="1" containsInteger="1" minValue="1" maxValue="20"/>
    </cacheField>
    <cacheField name="Campaign " numFmtId="0">
      <sharedItems count="20">
        <s v="C101"/>
        <s v="C102"/>
        <s v="C103"/>
        <s v="C104"/>
        <s v="C105"/>
        <s v="C106"/>
        <s v="C107"/>
        <s v="C108"/>
        <s v="C109"/>
        <s v="C110"/>
        <s v="C111"/>
        <s v="C112"/>
        <s v="C113"/>
        <s v="C114"/>
        <s v="C115"/>
        <s v="C116"/>
        <s v="C117"/>
        <s v="C118"/>
        <s v="C119"/>
        <s v="C120"/>
      </sharedItems>
    </cacheField>
    <cacheField name="Leads Generated" numFmtId="0">
      <sharedItems containsSemiMixedTypes="0" containsString="0" containsNumber="1" containsInteger="1" minValue="60" maxValue="320"/>
    </cacheField>
    <cacheField name="Total Cost" numFmtId="0">
      <sharedItems containsSemiMixedTypes="0" containsString="0" containsNumber="1" containsInteger="1" minValue="3000" maxValue="30000"/>
    </cacheField>
    <cacheField name="Conversion Rate (%)" numFmtId="10">
      <sharedItems containsSemiMixedTypes="0" containsString="0" containsNumber="1" minValue="0.05" maxValue="0.22"/>
    </cacheField>
    <cacheField name="Sales (L*CR)" numFmtId="0">
      <sharedItems containsSemiMixedTypes="0" containsString="0" containsNumber="1" minValue="7.8000000000000007" maxValue="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3.298382754627" createdVersion="8" refreshedVersion="8" minRefreshableVersion="3" recordCount="20" xr:uid="{DB33182D-F561-4B32-B6A9-18885F597F9B}">
  <cacheSource type="worksheet">
    <worksheetSource ref="A3:F23" sheet="Insurance"/>
  </cacheSource>
  <cacheFields count="6">
    <cacheField name="Sr No." numFmtId="0">
      <sharedItems containsSemiMixedTypes="0" containsString="0" containsNumber="1" containsInteger="1" minValue="1" maxValue="20"/>
    </cacheField>
    <cacheField name="Policy Number" numFmtId="0">
      <sharedItems/>
    </cacheField>
    <cacheField name="Customer Age" numFmtId="0">
      <sharedItems containsSemiMixedTypes="0" containsString="0" containsNumber="1" containsInteger="1" minValue="25" maxValue="60"/>
    </cacheField>
    <cacheField name="Premium" numFmtId="0">
      <sharedItems containsSemiMixedTypes="0" containsString="0" containsNumber="1" containsInteger="1" minValue="12000" maxValue="30000"/>
    </cacheField>
    <cacheField name="Claim Amount" numFmtId="0">
      <sharedItems containsSemiMixedTypes="0" containsString="0" containsNumber="1" containsInteger="1" minValue="0" maxValue="150000"/>
    </cacheField>
    <cacheField name="Policy Type" numFmtId="0">
      <sharedItems count="4">
        <s v="Life"/>
        <s v="Health"/>
        <s v="Vehicle"/>
        <s v="Ho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d v="2026-01-01T00:00:00"/>
    <s v="Laptop"/>
    <x v="0"/>
    <x v="0"/>
    <n v="8000"/>
  </r>
  <r>
    <n v="2"/>
    <d v="2026-01-02T00:00:00"/>
    <s v="Mobile"/>
    <x v="1"/>
    <x v="1"/>
    <n v="5000"/>
  </r>
  <r>
    <n v="3"/>
    <d v="2026-01-03T00:00:00"/>
    <s v="Printer"/>
    <x v="2"/>
    <x v="2"/>
    <n v="2500"/>
  </r>
  <r>
    <n v="4"/>
    <d v="2026-01-04T00:00:00"/>
    <s v="Tablet"/>
    <x v="3"/>
    <x v="3"/>
    <n v="3500"/>
  </r>
  <r>
    <n v="5"/>
    <d v="2026-01-05T00:00:00"/>
    <s v="Headphones"/>
    <x v="0"/>
    <x v="4"/>
    <n v="1200"/>
  </r>
  <r>
    <n v="6"/>
    <d v="2026-01-06T00:00:00"/>
    <s v="Monitor"/>
    <x v="1"/>
    <x v="5"/>
    <n v="3000"/>
  </r>
  <r>
    <n v="7"/>
    <d v="2026-01-07T00:00:00"/>
    <s v="Keyboard"/>
    <x v="2"/>
    <x v="6"/>
    <n v="700"/>
  </r>
  <r>
    <n v="8"/>
    <d v="2026-01-08T00:00:00"/>
    <s v="Mouse"/>
    <x v="3"/>
    <x v="7"/>
    <n v="500"/>
  </r>
  <r>
    <n v="9"/>
    <d v="2026-01-09T00:00:00"/>
    <s v="Smartwatch"/>
    <x v="0"/>
    <x v="8"/>
    <n v="2000"/>
  </r>
  <r>
    <n v="10"/>
    <d v="2026-01-10T00:00:00"/>
    <s v="Speaker"/>
    <x v="1"/>
    <x v="9"/>
    <n v="1500"/>
  </r>
  <r>
    <n v="11"/>
    <d v="2026-01-11T00:00:00"/>
    <s v="Camera"/>
    <x v="2"/>
    <x v="10"/>
    <n v="7000"/>
  </r>
  <r>
    <n v="12"/>
    <d v="2026-01-12T00:00:00"/>
    <s v="TV"/>
    <x v="3"/>
    <x v="11"/>
    <n v="9000"/>
  </r>
  <r>
    <n v="13"/>
    <d v="2026-01-13T00:00:00"/>
    <s v="AC"/>
    <x v="0"/>
    <x v="12"/>
    <n v="6000"/>
  </r>
  <r>
    <n v="14"/>
    <d v="2026-01-14T00:00:00"/>
    <s v="Refrigerator"/>
    <x v="1"/>
    <x v="13"/>
    <n v="7500"/>
  </r>
  <r>
    <n v="15"/>
    <d v="2026-01-15T00:00:00"/>
    <s v="Washing Machine"/>
    <x v="2"/>
    <x v="14"/>
    <n v="5500"/>
  </r>
  <r>
    <n v="16"/>
    <d v="2026-01-16T00:00:00"/>
    <s v="Cooler"/>
    <x v="3"/>
    <x v="8"/>
    <n v="1800"/>
  </r>
  <r>
    <n v="17"/>
    <d v="2026-01-17T00:00:00"/>
    <s v="Microwave"/>
    <x v="0"/>
    <x v="15"/>
    <n v="2200"/>
  </r>
  <r>
    <n v="18"/>
    <d v="2026-01-18T00:00:00"/>
    <s v="Mixer"/>
    <x v="1"/>
    <x v="16"/>
    <n v="900"/>
  </r>
  <r>
    <n v="19"/>
    <d v="2026-01-19T00:00:00"/>
    <s v="Iron"/>
    <x v="2"/>
    <x v="17"/>
    <n v="500"/>
  </r>
  <r>
    <n v="20"/>
    <d v="2026-01-20T00:00:00"/>
    <s v="Fan"/>
    <x v="3"/>
    <x v="18"/>
    <n v="800"/>
  </r>
  <r>
    <n v="21"/>
    <d v="2026-01-21T00:00:00"/>
    <s v="Laptop"/>
    <x v="0"/>
    <x v="19"/>
    <n v="9000"/>
  </r>
  <r>
    <n v="22"/>
    <d v="2026-01-22T00:00:00"/>
    <s v="Mobile"/>
    <x v="1"/>
    <x v="20"/>
    <n v="4500"/>
  </r>
  <r>
    <n v="23"/>
    <d v="2026-01-23T00:00:00"/>
    <s v="Printer"/>
    <x v="2"/>
    <x v="21"/>
    <n v="2700"/>
  </r>
  <r>
    <n v="24"/>
    <d v="2026-01-24T00:00:00"/>
    <s v="Tablet"/>
    <x v="3"/>
    <x v="22"/>
    <n v="3200"/>
  </r>
  <r>
    <n v="25"/>
    <d v="2026-01-25T00:00:00"/>
    <s v="Headphones"/>
    <x v="0"/>
    <x v="23"/>
    <n v="1500"/>
  </r>
  <r>
    <n v="26"/>
    <d v="2026-01-26T00:00:00"/>
    <s v="Monitor"/>
    <x v="1"/>
    <x v="24"/>
    <n v="3300"/>
  </r>
  <r>
    <n v="27"/>
    <d v="2026-01-27T00:00:00"/>
    <s v="Keyboard"/>
    <x v="2"/>
    <x v="25"/>
    <n v="750"/>
  </r>
  <r>
    <n v="28"/>
    <d v="2026-01-28T00:00:00"/>
    <s v="Mouse"/>
    <x v="3"/>
    <x v="17"/>
    <n v="600"/>
  </r>
  <r>
    <n v="29"/>
    <d v="2026-01-29T00:00:00"/>
    <s v="Smartwatch"/>
    <x v="0"/>
    <x v="2"/>
    <n v="2500"/>
  </r>
  <r>
    <n v="30"/>
    <d v="2026-01-30T00:00:00"/>
    <s v="Speaker"/>
    <x v="1"/>
    <x v="26"/>
    <n v="17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s v="EMP001"/>
    <x v="0"/>
    <n v="25000"/>
    <n v="2"/>
    <x v="0"/>
  </r>
  <r>
    <n v="2"/>
    <s v="EMP002"/>
    <x v="1"/>
    <n v="40000"/>
    <n v="5"/>
    <x v="0"/>
  </r>
  <r>
    <n v="3"/>
    <s v="EMP003"/>
    <x v="2"/>
    <n v="55000"/>
    <n v="7"/>
    <x v="1"/>
  </r>
  <r>
    <n v="4"/>
    <s v="EMP004"/>
    <x v="3"/>
    <n v="30000"/>
    <n v="3"/>
    <x v="0"/>
  </r>
  <r>
    <n v="5"/>
    <s v="EMP005"/>
    <x v="4"/>
    <n v="28000"/>
    <n v="2"/>
    <x v="1"/>
  </r>
  <r>
    <n v="6"/>
    <s v="EMP006"/>
    <x v="2"/>
    <n v="60000"/>
    <n v="8"/>
    <x v="0"/>
  </r>
  <r>
    <n v="7"/>
    <s v="EMP007"/>
    <x v="0"/>
    <n v="27000"/>
    <n v="3"/>
    <x v="0"/>
  </r>
  <r>
    <n v="8"/>
    <s v="EMP008"/>
    <x v="1"/>
    <n v="45000"/>
    <n v="6"/>
    <x v="1"/>
  </r>
  <r>
    <n v="9"/>
    <s v="EMP009"/>
    <x v="4"/>
    <n v="32000"/>
    <n v="4"/>
    <x v="0"/>
  </r>
  <r>
    <n v="10"/>
    <s v="EMP010"/>
    <x v="3"/>
    <n v="35000"/>
    <n v="5"/>
    <x v="0"/>
  </r>
  <r>
    <n v="11"/>
    <s v="EMP011"/>
    <x v="2"/>
    <n v="70000"/>
    <n v="10"/>
    <x v="0"/>
  </r>
  <r>
    <n v="12"/>
    <s v="EMP012"/>
    <x v="0"/>
    <n v="26000"/>
    <n v="2"/>
    <x v="1"/>
  </r>
  <r>
    <n v="13"/>
    <s v="EMP013"/>
    <x v="1"/>
    <n v="48000"/>
    <n v="7"/>
    <x v="0"/>
  </r>
  <r>
    <n v="14"/>
    <s v="EMP014"/>
    <x v="4"/>
    <n v="29000"/>
    <n v="3"/>
    <x v="1"/>
  </r>
  <r>
    <n v="15"/>
    <s v="EMP015"/>
    <x v="3"/>
    <n v="37000"/>
    <n v="6"/>
    <x v="0"/>
  </r>
  <r>
    <n v="16"/>
    <s v="EMP016"/>
    <x v="2"/>
    <n v="65000"/>
    <n v="9"/>
    <x v="0"/>
  </r>
  <r>
    <n v="17"/>
    <s v="EMP017"/>
    <x v="0"/>
    <n v="24000"/>
    <n v="1"/>
    <x v="1"/>
  </r>
  <r>
    <n v="18"/>
    <s v="EMP018"/>
    <x v="1"/>
    <n v="52000"/>
    <n v="8"/>
    <x v="0"/>
  </r>
  <r>
    <n v="19"/>
    <s v="EMP019"/>
    <x v="4"/>
    <n v="31000"/>
    <n v="4"/>
    <x v="0"/>
  </r>
  <r>
    <n v="20"/>
    <s v="EMP020"/>
    <x v="3"/>
    <n v="39000"/>
    <n v="6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x v="0"/>
    <n v="10"/>
    <n v="50000"/>
    <n v="500000"/>
    <n v="50000"/>
    <n v="450000"/>
    <n v="500000"/>
    <n v="550000"/>
    <n v="0.1"/>
  </r>
  <r>
    <n v="2"/>
    <x v="1"/>
    <n v="25"/>
    <n v="15000"/>
    <n v="375000"/>
    <n v="12000"/>
    <n v="363000"/>
    <n v="30000"/>
    <n v="28000"/>
    <n v="-6.6666666666666666E-2"/>
  </r>
  <r>
    <n v="3"/>
    <x v="2"/>
    <n v="8"/>
    <n v="40000"/>
    <n v="320000"/>
    <n v="3000"/>
    <n v="317000"/>
    <n v="50000"/>
    <n v="50000"/>
    <n v="0"/>
  </r>
  <r>
    <n v="4"/>
    <x v="3"/>
    <n v="5"/>
    <n v="30000"/>
    <n v="150000"/>
    <n v="200000"/>
    <n v="-50000"/>
    <n v="200000"/>
    <n v="210000"/>
    <n v="0.05"/>
  </r>
  <r>
    <n v="5"/>
    <x v="4"/>
    <n v="6"/>
    <n v="35000"/>
    <n v="210000"/>
    <n v="25000"/>
    <n v="185000"/>
    <n v="10000"/>
    <n v="12000"/>
    <n v="0.2"/>
  </r>
  <r>
    <n v="6"/>
    <x v="5"/>
    <n v="50"/>
    <n v="2000"/>
    <n v="100000"/>
    <n v="15000"/>
    <n v="85000"/>
    <n v="15000"/>
    <n v="13000"/>
    <n v="-0.13333333333333333"/>
  </r>
  <r>
    <n v="7"/>
    <x v="6"/>
    <n v="40"/>
    <n v="1500"/>
    <n v="60000"/>
    <n v="8000"/>
    <n v="52000"/>
    <n v="8000"/>
    <n v="9000"/>
    <n v="0.125"/>
  </r>
  <r>
    <n v="8"/>
    <x v="7"/>
    <n v="20"/>
    <n v="5000"/>
    <n v="100000"/>
    <n v="6000"/>
    <n v="94000"/>
    <n v="10000"/>
    <n v="10000"/>
    <n v="0"/>
  </r>
  <r>
    <n v="9"/>
    <x v="8"/>
    <n v="30"/>
    <n v="2500"/>
    <n v="75000"/>
    <n v="10000"/>
    <n v="65000"/>
    <n v="7000"/>
    <n v="6500"/>
    <n v="-7.1428571428571425E-2"/>
  </r>
  <r>
    <n v="10"/>
    <x v="9"/>
    <n v="45"/>
    <n v="3000"/>
    <n v="135000"/>
    <n v="40000"/>
    <n v="95000"/>
    <n v="20000"/>
    <n v="22000"/>
    <n v="0.1"/>
  </r>
  <r>
    <n v="11"/>
    <x v="10"/>
    <n v="12"/>
    <n v="12000"/>
    <n v="144000"/>
    <n v="2000"/>
    <n v="142000"/>
    <n v="18000"/>
    <n v="20000"/>
    <n v="0.1111111111111111"/>
  </r>
  <r>
    <n v="12"/>
    <x v="11"/>
    <n v="15"/>
    <n v="18000"/>
    <n v="270000"/>
    <n v="15000"/>
    <n v="255000"/>
    <n v="5000"/>
    <n v="4500"/>
    <n v="-0.1"/>
  </r>
  <r>
    <n v="13"/>
    <x v="12"/>
    <n v="7"/>
    <n v="45000"/>
    <n v="315000"/>
    <n v="7000"/>
    <n v="308000"/>
    <n v="4000"/>
    <n v="3800"/>
    <n v="-0.05"/>
  </r>
  <r>
    <n v="14"/>
    <x v="13"/>
    <n v="18"/>
    <n v="6000"/>
    <n v="108000"/>
    <n v="9000"/>
    <n v="99000"/>
    <n v="2000"/>
    <n v="2500"/>
    <n v="0.25"/>
  </r>
  <r>
    <n v="15"/>
    <x v="14"/>
    <n v="35"/>
    <n v="1200"/>
    <n v="42000"/>
    <n v="12000"/>
    <n v="30000"/>
    <n v="3000"/>
    <n v="3200"/>
    <n v="6.6666666666666666E-2"/>
  </r>
  <r>
    <n v="16"/>
    <x v="15"/>
    <n v="60"/>
    <n v="800"/>
    <n v="48000"/>
    <n v="5000"/>
    <n v="43000"/>
    <n v="9000"/>
    <n v="9500"/>
    <n v="5.5555555555555552E-2"/>
  </r>
  <r>
    <n v="17"/>
    <x v="16"/>
    <n v="22"/>
    <n v="3500"/>
    <n v="77000"/>
    <n v="4000"/>
    <n v="73000"/>
    <n v="12000"/>
    <n v="11500"/>
    <n v="-4.1666666666666664E-2"/>
  </r>
  <r>
    <n v="18"/>
    <x v="17"/>
    <n v="14"/>
    <n v="4000"/>
    <n v="56000"/>
    <n v="18000"/>
    <n v="38000"/>
    <n v="10000"/>
    <n v="12000"/>
    <n v="0.2"/>
  </r>
  <r>
    <n v="19"/>
    <x v="18"/>
    <n v="9"/>
    <n v="15000"/>
    <n v="135000"/>
    <n v="22000"/>
    <n v="113000"/>
    <n v="40000"/>
    <n v="40000"/>
    <n v="0"/>
  </r>
  <r>
    <n v="20"/>
    <x v="19"/>
    <n v="3"/>
    <n v="55000"/>
    <n v="165000"/>
    <n v="10000"/>
    <n v="155000"/>
    <n v="6000"/>
    <n v="7000"/>
    <n v="0.1666666666666666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x v="0"/>
    <n v="250"/>
    <n v="15000"/>
    <n v="0.08"/>
    <n v="20"/>
  </r>
  <r>
    <n v="2"/>
    <x v="1"/>
    <n v="320"/>
    <n v="22000"/>
    <n v="0.1"/>
    <n v="32"/>
  </r>
  <r>
    <n v="3"/>
    <x v="2"/>
    <n v="180"/>
    <n v="12000"/>
    <n v="7.0000000000000007E-2"/>
    <n v="12.600000000000001"/>
  </r>
  <r>
    <n v="4"/>
    <x v="3"/>
    <n v="140"/>
    <n v="5000"/>
    <n v="0.12"/>
    <n v="16.8"/>
  </r>
  <r>
    <n v="5"/>
    <x v="4"/>
    <n v="90"/>
    <n v="18000"/>
    <n v="0.15"/>
    <n v="13.5"/>
  </r>
  <r>
    <n v="6"/>
    <x v="5"/>
    <n v="210"/>
    <n v="25000"/>
    <n v="0.06"/>
    <n v="12.6"/>
  </r>
  <r>
    <n v="7"/>
    <x v="6"/>
    <n v="160"/>
    <n v="4000"/>
    <n v="0.18"/>
    <n v="28.799999999999997"/>
  </r>
  <r>
    <n v="8"/>
    <x v="7"/>
    <n v="110"/>
    <n v="3000"/>
    <n v="0.2"/>
    <n v="22"/>
  </r>
  <r>
    <n v="9"/>
    <x v="8"/>
    <n v="200"/>
    <n v="10000"/>
    <n v="0.09"/>
    <n v="18"/>
  </r>
  <r>
    <n v="10"/>
    <x v="9"/>
    <n v="175"/>
    <n v="27000"/>
    <n v="0.05"/>
    <n v="8.75"/>
  </r>
  <r>
    <n v="11"/>
    <x v="10"/>
    <n v="130"/>
    <n v="9000"/>
    <n v="7.0000000000000007E-2"/>
    <n v="9.1000000000000014"/>
  </r>
  <r>
    <n v="12"/>
    <x v="11"/>
    <n v="145"/>
    <n v="3500"/>
    <n v="0.16"/>
    <n v="23.2"/>
  </r>
  <r>
    <n v="13"/>
    <x v="12"/>
    <n v="75"/>
    <n v="30000"/>
    <n v="0.22"/>
    <n v="16.5"/>
  </r>
  <r>
    <n v="14"/>
    <x v="13"/>
    <n v="190"/>
    <n v="8000"/>
    <n v="0.14000000000000001"/>
    <n v="26.6"/>
  </r>
  <r>
    <n v="15"/>
    <x v="14"/>
    <n v="155"/>
    <n v="11000"/>
    <n v="0.11"/>
    <n v="17.05"/>
  </r>
  <r>
    <n v="16"/>
    <x v="15"/>
    <n v="280"/>
    <n v="26000"/>
    <n v="0.06"/>
    <n v="16.8"/>
  </r>
  <r>
    <n v="17"/>
    <x v="16"/>
    <n v="60"/>
    <n v="15000"/>
    <n v="0.13"/>
    <n v="7.8000000000000007"/>
  </r>
  <r>
    <n v="18"/>
    <x v="17"/>
    <n v="95"/>
    <n v="20000"/>
    <n v="0.09"/>
    <n v="8.5499999999999989"/>
  </r>
  <r>
    <n v="19"/>
    <x v="18"/>
    <n v="220"/>
    <n v="14000"/>
    <n v="0.17"/>
    <n v="37.400000000000006"/>
  </r>
  <r>
    <n v="20"/>
    <x v="19"/>
    <n v="300"/>
    <n v="18000"/>
    <n v="0.19"/>
    <n v="5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s v="POL1001"/>
    <n v="25"/>
    <n v="12000"/>
    <n v="0"/>
    <x v="0"/>
  </r>
  <r>
    <n v="2"/>
    <s v="POL1002"/>
    <n v="32"/>
    <n v="15000"/>
    <n v="50000"/>
    <x v="1"/>
  </r>
  <r>
    <n v="3"/>
    <s v="POL1003"/>
    <n v="45"/>
    <n v="22000"/>
    <n v="0"/>
    <x v="2"/>
  </r>
  <r>
    <n v="4"/>
    <s v="POL1004"/>
    <n v="29"/>
    <n v="18000"/>
    <n v="30000"/>
    <x v="1"/>
  </r>
  <r>
    <n v="5"/>
    <s v="POL1005"/>
    <n v="50"/>
    <n v="25000"/>
    <n v="100000"/>
    <x v="0"/>
  </r>
  <r>
    <n v="6"/>
    <s v="POL1006"/>
    <n v="38"/>
    <n v="20000"/>
    <n v="0"/>
    <x v="3"/>
  </r>
  <r>
    <n v="7"/>
    <s v="POL1007"/>
    <n v="41"/>
    <n v="27000"/>
    <n v="75000"/>
    <x v="2"/>
  </r>
  <r>
    <n v="8"/>
    <s v="POL1008"/>
    <n v="26"/>
    <n v="14000"/>
    <n v="0"/>
    <x v="1"/>
  </r>
  <r>
    <n v="9"/>
    <s v="POL1009"/>
    <n v="60"/>
    <n v="30000"/>
    <n v="150000"/>
    <x v="0"/>
  </r>
  <r>
    <n v="10"/>
    <s v="POL1010"/>
    <n v="35"/>
    <n v="21000"/>
    <n v="0"/>
    <x v="3"/>
  </r>
  <r>
    <n v="11"/>
    <s v="POL1011"/>
    <n v="48"/>
    <n v="26000"/>
    <n v="80000"/>
    <x v="2"/>
  </r>
  <r>
    <n v="12"/>
    <s v="POL1012"/>
    <n v="30"/>
    <n v="16000"/>
    <n v="20000"/>
    <x v="1"/>
  </r>
  <r>
    <n v="13"/>
    <s v="POL1013"/>
    <n v="55"/>
    <n v="28000"/>
    <n v="120000"/>
    <x v="0"/>
  </r>
  <r>
    <n v="14"/>
    <s v="POL1014"/>
    <n v="27"/>
    <n v="13000"/>
    <n v="0"/>
    <x v="1"/>
  </r>
  <r>
    <n v="15"/>
    <s v="POL1015"/>
    <n v="42"/>
    <n v="24000"/>
    <n v="60000"/>
    <x v="2"/>
  </r>
  <r>
    <n v="16"/>
    <s v="POL1016"/>
    <n v="33"/>
    <n v="19000"/>
    <n v="0"/>
    <x v="3"/>
  </r>
  <r>
    <n v="17"/>
    <s v="POL1017"/>
    <n v="46"/>
    <n v="23000"/>
    <n v="90000"/>
    <x v="0"/>
  </r>
  <r>
    <n v="18"/>
    <s v="POL1018"/>
    <n v="28"/>
    <n v="17000"/>
    <n v="15000"/>
    <x v="1"/>
  </r>
  <r>
    <n v="19"/>
    <s v="POL1019"/>
    <n v="52"/>
    <n v="29000"/>
    <n v="110000"/>
    <x v="0"/>
  </r>
  <r>
    <n v="20"/>
    <s v="POL1020"/>
    <n v="37"/>
    <n v="20500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C7319B-22D4-4ED5-9C5A-D6CF822A56A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I23:J28" firstHeaderRow="1" firstDataRow="1" firstDataCol="1"/>
  <pivotFields count="6">
    <pivotField showAll="0"/>
    <pivotField numFmtId="14"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4" baseField="0" baseItem="0"/>
  </dataFields>
  <formats count="10">
    <format dxfId="41">
      <pivotArea collapsedLevelsAreSubtotals="1" fieldPosition="0">
        <references count="1">
          <reference field="3" count="0"/>
        </references>
      </pivotArea>
    </format>
    <format dxfId="40">
      <pivotArea field="3" type="button" dataOnly="0" labelOnly="1" outline="0" axis="axisRow" fieldPosition="0"/>
    </format>
    <format dxfId="39">
      <pivotArea dataOnly="0" labelOnly="1" outline="0" axis="axisValues" fieldPosition="0"/>
    </format>
    <format dxfId="38">
      <pivotArea field="3" dataOnly="0" grandRow="1" axis="axisRow" fieldPosition="0">
        <references count="1">
          <reference field="3" count="1">
            <x v="3"/>
          </reference>
        </references>
      </pivotArea>
    </format>
    <format dxfId="37">
      <pivotArea dataOnly="0" labelOnly="1" outline="0" axis="axisValues" fieldPosition="0"/>
    </format>
    <format dxfId="36">
      <pivotArea field="3" type="button" dataOnly="0" labelOnly="1" outline="0" axis="axisRow" fieldPosition="0"/>
    </format>
    <format dxfId="35">
      <pivotArea outline="0" collapsedLevelsAreSubtotals="1" fieldPosition="0"/>
    </format>
    <format dxfId="34">
      <pivotArea dataOnly="0" labelOnly="1" fieldPosition="0">
        <references count="1">
          <reference field="3" count="0"/>
        </references>
      </pivotArea>
    </format>
    <format dxfId="33">
      <pivotArea dataOnly="0" labelOnly="1" grandRow="1" outline="0" fieldPosition="0"/>
    </format>
    <format dxfId="32">
      <pivotArea field="3" type="button" dataOnly="0" labelOnly="1" outline="0" axis="axisRow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220C8-1309-4751-A1E3-63EDD184B08F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25:E46" firstHeaderRow="0" firstDataRow="1" firstDataCol="1"/>
  <pivotFields count="6">
    <pivotField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dataField="1" showAll="0"/>
    <pivotField numFmtId="10" showAll="0"/>
    <pivotField dataField="1"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Cost" fld="3" baseField="0" baseItem="0"/>
    <dataField name="Sum of Sales (L*CR)" fld="5" baseField="0" baseItem="0"/>
  </dataFields>
  <formats count="15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field="1" type="button" dataOnly="0" labelOnly="1" outline="0" axis="axisRow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dataOnly="0" labelOnly="1" fieldPosition="0">
        <references count="1">
          <reference field="1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1B78E-F353-42C9-B0FF-A9E96463A41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5:B31" firstHeaderRow="1" firstDataRow="1" firstDataCol="1"/>
  <pivotFields count="6"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ttrition" fld="5" subtotal="count" baseField="0" baseItem="0"/>
  </dataFields>
  <formats count="8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2" type="button" dataOnly="0" labelOnly="1" outline="0" axis="axisRow" fieldPosition="0"/>
    </format>
    <format dxfId="46">
      <pivotArea dataOnly="0" labelOnly="1" fieldPosition="0">
        <references count="1">
          <reference field="2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dataOnly="0" labelOnly="1" outline="0" axis="axisValues" fieldPosition="0"/>
    </format>
    <format dxfId="42">
      <pivotArea field="2" type="button" dataOnly="0" labelOnly="1" outline="0" axis="axisRow" fieldPosition="0"/>
    </format>
  </formats>
  <chartFormats count="6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019DFD-01BB-4AE8-831C-0F393DFAB92F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25:D46" firstHeaderRow="1" firstDataRow="1" firstDataCol="1"/>
  <pivotFields count="10">
    <pivotField showAll="0"/>
    <pivotField axis="axisRow" showAll="0">
      <items count="21">
        <item x="4"/>
        <item x="8"/>
        <item x="12"/>
        <item x="16"/>
        <item x="9"/>
        <item x="14"/>
        <item x="0"/>
        <item x="17"/>
        <item x="1"/>
        <item x="15"/>
        <item x="18"/>
        <item x="10"/>
        <item x="3"/>
        <item x="6"/>
        <item x="5"/>
        <item x="19"/>
        <item x="13"/>
        <item x="11"/>
        <item x="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numFmtId="2"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Expenses" fld="5" baseField="0" baseItem="0"/>
  </dataFields>
  <formats count="8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 axis="axisRow" fieldPosition="0"/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field="1" type="button" dataOnly="0" labelOnly="1" outline="0" axis="axisRow" fieldPosition="0"/>
    </format>
    <format dxfId="10">
      <pivotArea dataOnly="0" outline="0" axis="axisValues" fieldPosition="0"/>
    </format>
    <format dxfId="9">
      <pivotArea dataOnly="0" fieldPosition="0">
        <references count="1">
          <reference field="1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E8271-D770-4A01-8570-B7619DCB022E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5:F30" firstHeaderRow="1" firstDataRow="1" firstDataCol="1"/>
  <pivotFields count="6">
    <pivotField showAll="0"/>
    <pivotField showAll="0"/>
    <pivotField showAll="0"/>
    <pivotField dataField="1" showAll="0"/>
    <pivotField showAll="0"/>
    <pivotField axis="axisRow" showAll="0">
      <items count="5">
        <item x="1"/>
        <item x="3"/>
        <item x="0"/>
        <item x="2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emium" fld="3" baseField="0" baseItem="0"/>
  </dataFields>
  <formats count="9">
    <format dxfId="8">
      <pivotArea type="all" dataOnly="0" outline="0" fieldPosition="0"/>
    </format>
    <format dxfId="7">
      <pivotArea outline="0" collapsedLevelsAreSubtotals="1" fieldPosition="0"/>
    </format>
    <format dxfId="6">
      <pivotArea field="5" type="button" dataOnly="0" labelOnly="1" outline="0" axis="axisRow" fieldPosition="0"/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5" count="0"/>
        </references>
      </pivotArea>
    </format>
    <format dxfId="2">
      <pivotArea dataOnly="0" labelOnly="1" fieldPosition="0">
        <references count="1">
          <reference field="5" count="0"/>
        </references>
      </pivotArea>
    </format>
    <format dxfId="1">
      <pivotArea field="5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997DF-CD40-440B-9D15-5F3B15FFBCF8}">
  <dimension ref="A2:Q33"/>
  <sheetViews>
    <sheetView topLeftCell="A14" zoomScaleNormal="100" workbookViewId="0">
      <selection activeCell="S31" sqref="S31"/>
    </sheetView>
  </sheetViews>
  <sheetFormatPr defaultRowHeight="14.4" x14ac:dyDescent="0.3"/>
  <cols>
    <col min="2" max="2" width="10.33203125" bestFit="1" customWidth="1"/>
    <col min="3" max="3" width="15.21875" bestFit="1" customWidth="1"/>
    <col min="4" max="4" width="8.88671875" customWidth="1"/>
    <col min="5" max="5" width="15" customWidth="1"/>
    <col min="6" max="6" width="9.88671875" customWidth="1"/>
    <col min="9" max="9" width="12.21875" bestFit="1" customWidth="1"/>
    <col min="10" max="10" width="18.5546875" bestFit="1" customWidth="1"/>
    <col min="12" max="12" width="10.44140625" customWidth="1"/>
    <col min="14" max="14" width="11.44140625" customWidth="1"/>
    <col min="15" max="15" width="13.21875" customWidth="1"/>
  </cols>
  <sheetData>
    <row r="2" spans="1:17" ht="25.2" x14ac:dyDescent="0.5">
      <c r="A2" s="28" t="s">
        <v>29</v>
      </c>
      <c r="B2" s="28"/>
      <c r="C2" s="28"/>
      <c r="D2" s="28"/>
      <c r="E2" s="28"/>
      <c r="F2" s="28"/>
      <c r="I2" s="28" t="s">
        <v>56</v>
      </c>
      <c r="J2" s="28"/>
      <c r="K2" s="28"/>
      <c r="L2" s="28"/>
      <c r="M2" s="28"/>
      <c r="N2" s="28"/>
      <c r="O2" s="28"/>
      <c r="P2" s="28"/>
      <c r="Q2" s="28"/>
    </row>
    <row r="3" spans="1:17" ht="22.8" x14ac:dyDescent="0.45">
      <c r="A3" s="5" t="s">
        <v>58</v>
      </c>
      <c r="B3" s="10" t="s">
        <v>0</v>
      </c>
      <c r="C3" s="10" t="s">
        <v>1</v>
      </c>
      <c r="D3" s="10" t="s">
        <v>2</v>
      </c>
      <c r="E3" s="10" t="s">
        <v>3</v>
      </c>
      <c r="F3" s="10" t="s">
        <v>4</v>
      </c>
      <c r="I3" s="29" t="s">
        <v>30</v>
      </c>
      <c r="J3" s="29"/>
      <c r="K3" s="29"/>
      <c r="L3" s="29"/>
      <c r="N3" s="29" t="s">
        <v>43</v>
      </c>
      <c r="O3" s="29"/>
      <c r="P3" s="29"/>
      <c r="Q3" s="29"/>
    </row>
    <row r="4" spans="1:17" x14ac:dyDescent="0.3">
      <c r="A4" s="2">
        <v>1</v>
      </c>
      <c r="B4" s="3">
        <v>46023</v>
      </c>
      <c r="C4" s="4" t="s">
        <v>5</v>
      </c>
      <c r="D4" s="4" t="s">
        <v>25</v>
      </c>
      <c r="E4" s="4">
        <v>55000</v>
      </c>
      <c r="F4" s="4">
        <v>8000</v>
      </c>
      <c r="I4" s="30" t="s">
        <v>31</v>
      </c>
      <c r="J4" s="30"/>
      <c r="K4" s="31">
        <f>SUM(E4:E33)</f>
        <v>640000</v>
      </c>
      <c r="L4" s="31"/>
      <c r="N4" s="30" t="s">
        <v>44</v>
      </c>
      <c r="O4" s="30"/>
      <c r="P4" s="32">
        <f ca="1">TODAY()</f>
        <v>46073</v>
      </c>
      <c r="Q4" s="31"/>
    </row>
    <row r="5" spans="1:17" x14ac:dyDescent="0.3">
      <c r="A5" s="2">
        <v>2</v>
      </c>
      <c r="B5" s="1">
        <v>46024</v>
      </c>
      <c r="C5" s="2" t="s">
        <v>6</v>
      </c>
      <c r="D5" s="2" t="s">
        <v>26</v>
      </c>
      <c r="E5" s="2">
        <v>30000</v>
      </c>
      <c r="F5" s="2">
        <v>5000</v>
      </c>
      <c r="I5" s="30" t="s">
        <v>32</v>
      </c>
      <c r="J5" s="30"/>
      <c r="K5" s="31">
        <f>COUNT(E4:E33)</f>
        <v>30</v>
      </c>
      <c r="L5" s="31"/>
      <c r="N5" s="30" t="s">
        <v>45</v>
      </c>
      <c r="O5" s="30"/>
      <c r="P5" s="33">
        <f ca="1">NOW()</f>
        <v>46073.793405902776</v>
      </c>
      <c r="Q5" s="31"/>
    </row>
    <row r="6" spans="1:17" x14ac:dyDescent="0.3">
      <c r="A6" s="2">
        <v>3</v>
      </c>
      <c r="B6" s="1">
        <v>46025</v>
      </c>
      <c r="C6" s="2" t="s">
        <v>7</v>
      </c>
      <c r="D6" s="2" t="s">
        <v>27</v>
      </c>
      <c r="E6" s="2">
        <v>15000</v>
      </c>
      <c r="F6" s="2">
        <v>2500</v>
      </c>
      <c r="I6" s="30" t="s">
        <v>33</v>
      </c>
      <c r="J6" s="30"/>
      <c r="K6" s="44">
        <f>AVERAGE(E4:E33)</f>
        <v>21333.333333333332</v>
      </c>
      <c r="L6" s="44"/>
      <c r="N6" s="30" t="s">
        <v>46</v>
      </c>
      <c r="O6" s="30"/>
      <c r="P6" s="31">
        <f>DATEDIF(B4,B33,"D")</f>
        <v>29</v>
      </c>
      <c r="Q6" s="31"/>
    </row>
    <row r="7" spans="1:17" x14ac:dyDescent="0.3">
      <c r="A7" s="2">
        <v>4</v>
      </c>
      <c r="B7" s="1">
        <v>46026</v>
      </c>
      <c r="C7" s="2" t="s">
        <v>8</v>
      </c>
      <c r="D7" s="2" t="s">
        <v>28</v>
      </c>
      <c r="E7" s="2">
        <v>22000</v>
      </c>
      <c r="F7" s="2">
        <v>3500</v>
      </c>
      <c r="I7" s="30" t="s">
        <v>34</v>
      </c>
      <c r="J7" s="30"/>
      <c r="K7" s="31">
        <f>MIN(E4:E33)</f>
        <v>2500</v>
      </c>
      <c r="L7" s="31"/>
    </row>
    <row r="8" spans="1:17" x14ac:dyDescent="0.3">
      <c r="A8" s="2">
        <v>5</v>
      </c>
      <c r="B8" s="1">
        <v>46027</v>
      </c>
      <c r="C8" s="2" t="s">
        <v>9</v>
      </c>
      <c r="D8" s="2" t="s">
        <v>25</v>
      </c>
      <c r="E8" s="2">
        <v>8000</v>
      </c>
      <c r="F8" s="2">
        <v>1200</v>
      </c>
      <c r="I8" s="30" t="s">
        <v>36</v>
      </c>
      <c r="J8" s="30"/>
      <c r="K8" s="31">
        <f>MAX(E4:E33)</f>
        <v>65000</v>
      </c>
      <c r="L8" s="31"/>
    </row>
    <row r="9" spans="1:17" x14ac:dyDescent="0.3">
      <c r="A9" s="2">
        <v>6</v>
      </c>
      <c r="B9" s="1">
        <v>46028</v>
      </c>
      <c r="C9" s="2" t="s">
        <v>10</v>
      </c>
      <c r="D9" s="2" t="s">
        <v>26</v>
      </c>
      <c r="E9" s="2">
        <v>18000</v>
      </c>
      <c r="F9" s="2">
        <v>3000</v>
      </c>
      <c r="I9" s="30" t="s">
        <v>35</v>
      </c>
      <c r="J9" s="30"/>
      <c r="K9" s="31">
        <f>SUM(F4:F33)</f>
        <v>98850</v>
      </c>
      <c r="L9" s="31"/>
    </row>
    <row r="10" spans="1:17" x14ac:dyDescent="0.3">
      <c r="A10" s="2">
        <v>7</v>
      </c>
      <c r="B10" s="1">
        <v>46029</v>
      </c>
      <c r="C10" s="2" t="s">
        <v>11</v>
      </c>
      <c r="D10" s="2" t="s">
        <v>27</v>
      </c>
      <c r="E10" s="2">
        <v>4000</v>
      </c>
      <c r="F10" s="2">
        <v>700</v>
      </c>
    </row>
    <row r="11" spans="1:17" ht="22.8" x14ac:dyDescent="0.45">
      <c r="A11" s="2">
        <v>8</v>
      </c>
      <c r="B11" s="1">
        <v>46030</v>
      </c>
      <c r="C11" s="2" t="s">
        <v>12</v>
      </c>
      <c r="D11" s="2" t="s">
        <v>28</v>
      </c>
      <c r="E11" s="2">
        <v>2500</v>
      </c>
      <c r="F11" s="2">
        <v>500</v>
      </c>
      <c r="I11" s="39" t="s">
        <v>37</v>
      </c>
      <c r="J11" s="39"/>
      <c r="K11" s="39"/>
      <c r="L11" s="39"/>
      <c r="N11" s="39" t="s">
        <v>47</v>
      </c>
      <c r="O11" s="39"/>
      <c r="P11" s="39"/>
      <c r="Q11" s="39"/>
    </row>
    <row r="12" spans="1:17" x14ac:dyDescent="0.3">
      <c r="A12" s="2">
        <v>9</v>
      </c>
      <c r="B12" s="1">
        <v>46031</v>
      </c>
      <c r="C12" s="2" t="s">
        <v>13</v>
      </c>
      <c r="D12" s="2" t="s">
        <v>25</v>
      </c>
      <c r="E12" s="2">
        <v>12000</v>
      </c>
      <c r="F12" s="2">
        <v>2000</v>
      </c>
      <c r="I12" s="30" t="s">
        <v>38</v>
      </c>
      <c r="J12" s="30"/>
      <c r="K12" s="31" t="str">
        <f>IF(E4&gt;25000,"minimum","maximum")</f>
        <v>minimum</v>
      </c>
      <c r="L12" s="31"/>
      <c r="N12" s="30" t="s">
        <v>48</v>
      </c>
      <c r="O12" s="30"/>
      <c r="P12" s="31">
        <f>VLOOKUP(1,A4:F33,5,FALSE)</f>
        <v>55000</v>
      </c>
      <c r="Q12" s="31"/>
    </row>
    <row r="13" spans="1:17" x14ac:dyDescent="0.3">
      <c r="A13" s="2">
        <v>10</v>
      </c>
      <c r="B13" s="1">
        <v>46032</v>
      </c>
      <c r="C13" s="2" t="s">
        <v>14</v>
      </c>
      <c r="D13" s="2" t="s">
        <v>26</v>
      </c>
      <c r="E13" s="2">
        <v>10000</v>
      </c>
      <c r="F13" s="2">
        <v>1500</v>
      </c>
      <c r="I13" s="30" t="s">
        <v>39</v>
      </c>
      <c r="J13" s="30"/>
      <c r="K13" s="31" t="b">
        <f>AND(E4&gt;20000,E7&lt;20000)</f>
        <v>0</v>
      </c>
      <c r="L13" s="31"/>
      <c r="N13" s="30" t="s">
        <v>49</v>
      </c>
      <c r="O13" s="30"/>
      <c r="P13" s="38">
        <f>HLOOKUP("sales amount",A3:F33,3,FALSE)</f>
        <v>30000</v>
      </c>
      <c r="Q13" s="38"/>
    </row>
    <row r="14" spans="1:17" x14ac:dyDescent="0.3">
      <c r="A14" s="2">
        <v>11</v>
      </c>
      <c r="B14" s="1">
        <v>46033</v>
      </c>
      <c r="C14" s="2" t="s">
        <v>19</v>
      </c>
      <c r="D14" s="2" t="s">
        <v>27</v>
      </c>
      <c r="E14" s="2">
        <v>45000</v>
      </c>
      <c r="F14" s="2">
        <v>7000</v>
      </c>
      <c r="I14" s="30" t="s">
        <v>40</v>
      </c>
      <c r="J14" s="30"/>
      <c r="K14" s="31" t="b">
        <f>OR(E4&gt;30000,E7&lt;30000)</f>
        <v>1</v>
      </c>
      <c r="L14" s="31"/>
      <c r="N14" s="30" t="s">
        <v>50</v>
      </c>
      <c r="O14" s="30"/>
      <c r="P14" s="38">
        <f>_xlfn.XLOOKUP(3,A4:A33,E4:E33)</f>
        <v>15000</v>
      </c>
      <c r="Q14" s="38"/>
    </row>
    <row r="15" spans="1:17" x14ac:dyDescent="0.3">
      <c r="A15" s="2">
        <v>12</v>
      </c>
      <c r="B15" s="1">
        <v>46034</v>
      </c>
      <c r="C15" s="2" t="s">
        <v>15</v>
      </c>
      <c r="D15" s="2" t="s">
        <v>28</v>
      </c>
      <c r="E15" s="2">
        <v>65000</v>
      </c>
      <c r="F15" s="2">
        <v>9000</v>
      </c>
    </row>
    <row r="16" spans="1:17" x14ac:dyDescent="0.3">
      <c r="A16" s="2">
        <v>13</v>
      </c>
      <c r="B16" s="1">
        <v>46035</v>
      </c>
      <c r="C16" s="2" t="s">
        <v>16</v>
      </c>
      <c r="D16" s="2" t="s">
        <v>25</v>
      </c>
      <c r="E16" s="2">
        <v>40000</v>
      </c>
      <c r="F16" s="2">
        <v>6000</v>
      </c>
    </row>
    <row r="17" spans="1:17" ht="22.8" x14ac:dyDescent="0.45">
      <c r="A17" s="2">
        <v>14</v>
      </c>
      <c r="B17" s="1">
        <v>46036</v>
      </c>
      <c r="C17" s="2" t="s">
        <v>20</v>
      </c>
      <c r="D17" s="2" t="s">
        <v>26</v>
      </c>
      <c r="E17" s="2">
        <v>50000</v>
      </c>
      <c r="F17" s="2">
        <v>7500</v>
      </c>
      <c r="I17" s="39" t="s">
        <v>41</v>
      </c>
      <c r="J17" s="39"/>
      <c r="K17" s="39"/>
      <c r="L17" s="39"/>
      <c r="N17" s="39" t="s">
        <v>57</v>
      </c>
      <c r="O17" s="39"/>
      <c r="P17" s="39"/>
      <c r="Q17" s="39"/>
    </row>
    <row r="18" spans="1:17" x14ac:dyDescent="0.3">
      <c r="A18" s="2">
        <v>15</v>
      </c>
      <c r="B18" s="1">
        <v>46037</v>
      </c>
      <c r="C18" s="2" t="s">
        <v>18</v>
      </c>
      <c r="D18" s="2" t="s">
        <v>27</v>
      </c>
      <c r="E18" s="2">
        <v>35000</v>
      </c>
      <c r="F18" s="2">
        <v>5500</v>
      </c>
      <c r="I18" s="30" t="s">
        <v>134</v>
      </c>
      <c r="J18" s="30"/>
      <c r="K18" s="31" t="str">
        <f>LEFT(D5,3)</f>
        <v>Sou</v>
      </c>
      <c r="L18" s="31"/>
      <c r="N18" s="30" t="s">
        <v>52</v>
      </c>
      <c r="O18" s="30"/>
      <c r="P18" s="44">
        <f>AVERAGE(E4:E33)</f>
        <v>21333.333333333332</v>
      </c>
      <c r="Q18" s="44"/>
    </row>
    <row r="19" spans="1:17" x14ac:dyDescent="0.3">
      <c r="A19" s="2">
        <v>16</v>
      </c>
      <c r="B19" s="1">
        <v>46038</v>
      </c>
      <c r="C19" s="2" t="s">
        <v>17</v>
      </c>
      <c r="D19" s="2" t="s">
        <v>28</v>
      </c>
      <c r="E19" s="2">
        <v>12000</v>
      </c>
      <c r="F19" s="2">
        <v>1800</v>
      </c>
      <c r="I19" s="30" t="s">
        <v>135</v>
      </c>
      <c r="J19" s="30"/>
      <c r="K19" s="31" t="str">
        <f>RIGHT(D6,2)</f>
        <v>st</v>
      </c>
      <c r="L19" s="31"/>
      <c r="N19" s="30" t="s">
        <v>53</v>
      </c>
      <c r="O19" s="30"/>
      <c r="P19" s="31">
        <f>MEDIAN(E4:E33)</f>
        <v>15000</v>
      </c>
      <c r="Q19" s="31"/>
    </row>
    <row r="20" spans="1:17" x14ac:dyDescent="0.3">
      <c r="A20" s="2">
        <v>17</v>
      </c>
      <c r="B20" s="1">
        <v>46039</v>
      </c>
      <c r="C20" s="2" t="s">
        <v>21</v>
      </c>
      <c r="D20" s="2" t="s">
        <v>25</v>
      </c>
      <c r="E20" s="2">
        <v>14000</v>
      </c>
      <c r="F20" s="2">
        <v>2200</v>
      </c>
      <c r="I20" s="30" t="s">
        <v>136</v>
      </c>
      <c r="J20" s="30"/>
      <c r="K20" s="31" t="str">
        <f>MID(C12,2,3)</f>
        <v>mar</v>
      </c>
      <c r="L20" s="31"/>
      <c r="N20" s="30" t="s">
        <v>55</v>
      </c>
      <c r="O20" s="30"/>
      <c r="P20" s="31">
        <f>_xlfn.MODE.SNGL(E4:E33)</f>
        <v>15000</v>
      </c>
      <c r="Q20" s="31"/>
    </row>
    <row r="21" spans="1:17" x14ac:dyDescent="0.3">
      <c r="A21" s="2">
        <v>18</v>
      </c>
      <c r="B21" s="1">
        <v>46040</v>
      </c>
      <c r="C21" s="2" t="s">
        <v>22</v>
      </c>
      <c r="D21" s="2" t="s">
        <v>26</v>
      </c>
      <c r="E21" s="2">
        <v>6000</v>
      </c>
      <c r="F21" s="2">
        <v>900</v>
      </c>
      <c r="I21" s="30" t="s">
        <v>42</v>
      </c>
      <c r="J21" s="30"/>
      <c r="K21" s="31" t="str">
        <f>_xlfn.CONCAT(C6,"_",D6)</f>
        <v>Printer_East</v>
      </c>
      <c r="L21" s="31"/>
      <c r="N21" s="42" t="s">
        <v>51</v>
      </c>
      <c r="O21" s="42"/>
      <c r="P21" s="43">
        <f>_xlfn.STDEV.S(E4:E33)</f>
        <v>18185.032370024819</v>
      </c>
      <c r="Q21" s="43"/>
    </row>
    <row r="22" spans="1:17" x14ac:dyDescent="0.3">
      <c r="A22" s="2">
        <v>19</v>
      </c>
      <c r="B22" s="1">
        <v>46041</v>
      </c>
      <c r="C22" s="2" t="s">
        <v>23</v>
      </c>
      <c r="D22" s="2" t="s">
        <v>27</v>
      </c>
      <c r="E22" s="2">
        <v>3000</v>
      </c>
      <c r="F22" s="2">
        <v>500</v>
      </c>
      <c r="N22" s="40" t="s">
        <v>54</v>
      </c>
      <c r="O22" s="40"/>
      <c r="P22" s="41">
        <f>CORREL(E4:E33,F4:F33)</f>
        <v>0.99727349422081568</v>
      </c>
      <c r="Q22" s="41"/>
    </row>
    <row r="23" spans="1:17" x14ac:dyDescent="0.3">
      <c r="A23" s="2">
        <v>20</v>
      </c>
      <c r="B23" s="1">
        <v>46042</v>
      </c>
      <c r="C23" s="2" t="s">
        <v>24</v>
      </c>
      <c r="D23" s="2" t="s">
        <v>28</v>
      </c>
      <c r="E23" s="2">
        <v>5000</v>
      </c>
      <c r="F23" s="2">
        <v>800</v>
      </c>
      <c r="I23" s="24" t="s">
        <v>144</v>
      </c>
      <c r="J23" s="21" t="s">
        <v>146</v>
      </c>
    </row>
    <row r="24" spans="1:17" x14ac:dyDescent="0.3">
      <c r="A24" s="2">
        <v>21</v>
      </c>
      <c r="B24" s="1">
        <v>46043</v>
      </c>
      <c r="C24" s="2" t="s">
        <v>5</v>
      </c>
      <c r="D24" s="2" t="s">
        <v>25</v>
      </c>
      <c r="E24" s="2">
        <v>60000</v>
      </c>
      <c r="F24" s="2">
        <v>9000</v>
      </c>
      <c r="I24" s="22" t="s">
        <v>27</v>
      </c>
      <c r="J24" s="23">
        <v>123500</v>
      </c>
    </row>
    <row r="25" spans="1:17" x14ac:dyDescent="0.3">
      <c r="A25" s="2">
        <v>22</v>
      </c>
      <c r="B25" s="1">
        <v>46044</v>
      </c>
      <c r="C25" s="2" t="s">
        <v>6</v>
      </c>
      <c r="D25" s="2" t="s">
        <v>26</v>
      </c>
      <c r="E25" s="2">
        <v>28000</v>
      </c>
      <c r="F25" s="2">
        <v>4500</v>
      </c>
      <c r="I25" s="22" t="s">
        <v>25</v>
      </c>
      <c r="J25" s="23">
        <v>213000</v>
      </c>
    </row>
    <row r="26" spans="1:17" x14ac:dyDescent="0.3">
      <c r="A26" s="2">
        <v>23</v>
      </c>
      <c r="B26" s="1">
        <v>46045</v>
      </c>
      <c r="C26" s="2" t="s">
        <v>7</v>
      </c>
      <c r="D26" s="2" t="s">
        <v>27</v>
      </c>
      <c r="E26" s="2">
        <v>17000</v>
      </c>
      <c r="F26" s="2">
        <v>2700</v>
      </c>
      <c r="I26" s="22" t="s">
        <v>26</v>
      </c>
      <c r="J26" s="23">
        <v>173000</v>
      </c>
    </row>
    <row r="27" spans="1:17" x14ac:dyDescent="0.3">
      <c r="A27" s="2">
        <v>24</v>
      </c>
      <c r="B27" s="1">
        <v>46046</v>
      </c>
      <c r="C27" s="2" t="s">
        <v>8</v>
      </c>
      <c r="D27" s="2" t="s">
        <v>28</v>
      </c>
      <c r="E27" s="2">
        <v>21000</v>
      </c>
      <c r="F27" s="2">
        <v>3200</v>
      </c>
      <c r="I27" s="22" t="s">
        <v>28</v>
      </c>
      <c r="J27" s="23">
        <v>130500</v>
      </c>
    </row>
    <row r="28" spans="1:17" x14ac:dyDescent="0.3">
      <c r="A28" s="2">
        <v>25</v>
      </c>
      <c r="B28" s="1">
        <v>46047</v>
      </c>
      <c r="C28" s="2" t="s">
        <v>9</v>
      </c>
      <c r="D28" s="2" t="s">
        <v>25</v>
      </c>
      <c r="E28" s="2">
        <v>9000</v>
      </c>
      <c r="F28" s="2">
        <v>1500</v>
      </c>
      <c r="I28" s="22" t="s">
        <v>145</v>
      </c>
      <c r="J28" s="23">
        <v>640000</v>
      </c>
    </row>
    <row r="29" spans="1:17" x14ac:dyDescent="0.3">
      <c r="A29" s="2">
        <v>26</v>
      </c>
      <c r="B29" s="1">
        <v>46048</v>
      </c>
      <c r="C29" s="2" t="s">
        <v>10</v>
      </c>
      <c r="D29" s="2" t="s">
        <v>26</v>
      </c>
      <c r="E29" s="2">
        <v>20000</v>
      </c>
      <c r="F29" s="2">
        <v>3300</v>
      </c>
    </row>
    <row r="30" spans="1:17" x14ac:dyDescent="0.3">
      <c r="A30" s="2">
        <v>27</v>
      </c>
      <c r="B30" s="1">
        <v>46049</v>
      </c>
      <c r="C30" s="2" t="s">
        <v>11</v>
      </c>
      <c r="D30" s="2" t="s">
        <v>27</v>
      </c>
      <c r="E30" s="2">
        <v>4500</v>
      </c>
      <c r="F30" s="2">
        <v>750</v>
      </c>
    </row>
    <row r="31" spans="1:17" x14ac:dyDescent="0.3">
      <c r="A31" s="2">
        <v>28</v>
      </c>
      <c r="B31" s="1">
        <v>46050</v>
      </c>
      <c r="C31" s="2" t="s">
        <v>12</v>
      </c>
      <c r="D31" s="2" t="s">
        <v>28</v>
      </c>
      <c r="E31" s="2">
        <v>3000</v>
      </c>
      <c r="F31" s="2">
        <v>600</v>
      </c>
    </row>
    <row r="32" spans="1:17" x14ac:dyDescent="0.3">
      <c r="A32" s="2">
        <v>29</v>
      </c>
      <c r="B32" s="1">
        <v>46051</v>
      </c>
      <c r="C32" s="2" t="s">
        <v>13</v>
      </c>
      <c r="D32" s="2" t="s">
        <v>25</v>
      </c>
      <c r="E32" s="2">
        <v>15000</v>
      </c>
      <c r="F32" s="2">
        <v>2500</v>
      </c>
    </row>
    <row r="33" spans="1:6" x14ac:dyDescent="0.3">
      <c r="A33" s="2">
        <v>30</v>
      </c>
      <c r="B33" s="1">
        <v>46052</v>
      </c>
      <c r="C33" s="2" t="s">
        <v>14</v>
      </c>
      <c r="D33" s="2" t="s">
        <v>26</v>
      </c>
      <c r="E33" s="2">
        <v>11000</v>
      </c>
      <c r="F33" s="2">
        <v>1700</v>
      </c>
    </row>
  </sheetData>
  <mergeCells count="56">
    <mergeCell ref="A2:F2"/>
    <mergeCell ref="N17:Q17"/>
    <mergeCell ref="N18:O18"/>
    <mergeCell ref="P18:Q18"/>
    <mergeCell ref="N11:Q11"/>
    <mergeCell ref="N13:O13"/>
    <mergeCell ref="P13:Q13"/>
    <mergeCell ref="N14:O14"/>
    <mergeCell ref="P14:Q14"/>
    <mergeCell ref="N12:O12"/>
    <mergeCell ref="P12:Q12"/>
    <mergeCell ref="N4:O4"/>
    <mergeCell ref="P4:Q4"/>
    <mergeCell ref="N5:O5"/>
    <mergeCell ref="P5:Q5"/>
    <mergeCell ref="N6:O6"/>
    <mergeCell ref="N22:O22"/>
    <mergeCell ref="P22:Q22"/>
    <mergeCell ref="N19:O19"/>
    <mergeCell ref="P19:Q19"/>
    <mergeCell ref="N20:O20"/>
    <mergeCell ref="P20:Q20"/>
    <mergeCell ref="N21:O21"/>
    <mergeCell ref="P21:Q21"/>
    <mergeCell ref="I13:J13"/>
    <mergeCell ref="K13:L13"/>
    <mergeCell ref="I7:J7"/>
    <mergeCell ref="I8:J8"/>
    <mergeCell ref="I9:J9"/>
    <mergeCell ref="K7:L7"/>
    <mergeCell ref="K8:L8"/>
    <mergeCell ref="K9:L9"/>
    <mergeCell ref="I4:J4"/>
    <mergeCell ref="I5:J5"/>
    <mergeCell ref="I11:L11"/>
    <mergeCell ref="I12:J12"/>
    <mergeCell ref="K12:L12"/>
    <mergeCell ref="K4:L4"/>
    <mergeCell ref="K5:L5"/>
    <mergeCell ref="I6:J6"/>
    <mergeCell ref="I2:Q2"/>
    <mergeCell ref="K6:L6"/>
    <mergeCell ref="P6:Q6"/>
    <mergeCell ref="N3:Q3"/>
    <mergeCell ref="I21:J21"/>
    <mergeCell ref="K21:L21"/>
    <mergeCell ref="I14:J14"/>
    <mergeCell ref="K14:L14"/>
    <mergeCell ref="I17:L17"/>
    <mergeCell ref="I18:J18"/>
    <mergeCell ref="K18:L18"/>
    <mergeCell ref="I19:J19"/>
    <mergeCell ref="K19:L19"/>
    <mergeCell ref="I20:J20"/>
    <mergeCell ref="K20:L20"/>
    <mergeCell ref="I3:L3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C0F8-A577-4533-90E1-CBD7AE8447FC}">
  <dimension ref="A2:P46"/>
  <sheetViews>
    <sheetView workbookViewId="0">
      <selection activeCell="J7" sqref="J7:K7"/>
    </sheetView>
  </sheetViews>
  <sheetFormatPr defaultRowHeight="14.4" x14ac:dyDescent="0.3"/>
  <cols>
    <col min="1" max="1" width="6.6640625" bestFit="1" customWidth="1"/>
    <col min="2" max="2" width="12.21875" bestFit="1" customWidth="1"/>
    <col min="3" max="3" width="19.21875" bestFit="1" customWidth="1"/>
    <col min="4" max="4" width="15.33203125" bestFit="1" customWidth="1"/>
    <col min="5" max="5" width="22.6640625" bestFit="1" customWidth="1"/>
    <col min="6" max="6" width="14.44140625" bestFit="1" customWidth="1"/>
    <col min="9" max="9" width="10.44140625" customWidth="1"/>
    <col min="11" max="11" width="12.88671875" customWidth="1"/>
    <col min="14" max="14" width="15.5546875" customWidth="1"/>
  </cols>
  <sheetData>
    <row r="2" spans="1:16" ht="25.2" x14ac:dyDescent="0.5">
      <c r="A2" s="45" t="s">
        <v>96</v>
      </c>
      <c r="B2" s="46"/>
      <c r="C2" s="46"/>
      <c r="D2" s="46"/>
      <c r="E2" s="46"/>
      <c r="F2" s="46"/>
      <c r="H2" s="28" t="s">
        <v>56</v>
      </c>
      <c r="I2" s="28"/>
      <c r="J2" s="28"/>
      <c r="K2" s="28"/>
      <c r="L2" s="28"/>
      <c r="M2" s="28"/>
      <c r="N2" s="28"/>
      <c r="O2" s="28"/>
      <c r="P2" s="28"/>
    </row>
    <row r="3" spans="1:16" ht="22.8" x14ac:dyDescent="0.45">
      <c r="A3" s="8" t="s">
        <v>93</v>
      </c>
      <c r="B3" s="8" t="s">
        <v>168</v>
      </c>
      <c r="C3" s="8" t="s">
        <v>94</v>
      </c>
      <c r="D3" s="8" t="s">
        <v>140</v>
      </c>
      <c r="E3" s="8" t="s">
        <v>95</v>
      </c>
      <c r="F3" s="25" t="s">
        <v>171</v>
      </c>
      <c r="H3" s="29" t="s">
        <v>30</v>
      </c>
      <c r="I3" s="29"/>
      <c r="J3" s="29"/>
      <c r="K3" s="29"/>
      <c r="M3" s="29" t="s">
        <v>43</v>
      </c>
      <c r="N3" s="29"/>
      <c r="O3" s="29"/>
      <c r="P3" s="29"/>
    </row>
    <row r="4" spans="1:16" x14ac:dyDescent="0.3">
      <c r="A4" s="9">
        <v>1</v>
      </c>
      <c r="B4" s="9" t="s">
        <v>148</v>
      </c>
      <c r="C4" s="9">
        <v>250</v>
      </c>
      <c r="D4" s="9">
        <v>15000</v>
      </c>
      <c r="E4" s="26">
        <v>0.08</v>
      </c>
      <c r="F4" s="27">
        <f>C4*E4</f>
        <v>20</v>
      </c>
      <c r="H4" s="30" t="s">
        <v>31</v>
      </c>
      <c r="I4" s="30"/>
      <c r="J4" s="31">
        <f>SUM(F4:F23)</f>
        <v>405.05000000000007</v>
      </c>
      <c r="K4" s="31"/>
      <c r="M4" s="30" t="s">
        <v>44</v>
      </c>
      <c r="N4" s="30"/>
      <c r="O4" s="32">
        <f ca="1">TODAY()</f>
        <v>46073</v>
      </c>
      <c r="P4" s="31"/>
    </row>
    <row r="5" spans="1:16" x14ac:dyDescent="0.3">
      <c r="A5" s="9">
        <v>2</v>
      </c>
      <c r="B5" s="9" t="s">
        <v>149</v>
      </c>
      <c r="C5" s="9">
        <v>320</v>
      </c>
      <c r="D5" s="9">
        <v>22000</v>
      </c>
      <c r="E5" s="26">
        <v>0.1</v>
      </c>
      <c r="F5" s="27">
        <f t="shared" ref="F5:F23" si="0">C5*E5</f>
        <v>32</v>
      </c>
      <c r="H5" s="30" t="s">
        <v>32</v>
      </c>
      <c r="I5" s="30"/>
      <c r="J5" s="31">
        <f>COUNT(F4:F23)</f>
        <v>20</v>
      </c>
      <c r="K5" s="31"/>
      <c r="M5" s="30" t="s">
        <v>45</v>
      </c>
      <c r="N5" s="30"/>
      <c r="O5" s="33">
        <f ca="1">NOW()</f>
        <v>46073.793405902776</v>
      </c>
      <c r="P5" s="31"/>
    </row>
    <row r="6" spans="1:16" x14ac:dyDescent="0.3">
      <c r="A6" s="9">
        <v>3</v>
      </c>
      <c r="B6" s="9" t="s">
        <v>150</v>
      </c>
      <c r="C6" s="9">
        <v>180</v>
      </c>
      <c r="D6" s="9">
        <v>12000</v>
      </c>
      <c r="E6" s="26">
        <v>7.0000000000000007E-2</v>
      </c>
      <c r="F6" s="27">
        <f t="shared" si="0"/>
        <v>12.600000000000001</v>
      </c>
      <c r="H6" s="30" t="s">
        <v>33</v>
      </c>
      <c r="I6" s="30"/>
      <c r="J6" s="44">
        <f>AVERAGE(F4:F25)</f>
        <v>20.252500000000005</v>
      </c>
      <c r="K6" s="44"/>
      <c r="M6" s="30" t="s">
        <v>46</v>
      </c>
      <c r="N6" s="30"/>
      <c r="O6" s="31">
        <f>DATEDIF(A4,A23,"D")</f>
        <v>19</v>
      </c>
      <c r="P6" s="31"/>
    </row>
    <row r="7" spans="1:16" x14ac:dyDescent="0.3">
      <c r="A7" s="9">
        <v>4</v>
      </c>
      <c r="B7" s="9" t="s">
        <v>151</v>
      </c>
      <c r="C7" s="9">
        <v>140</v>
      </c>
      <c r="D7" s="9">
        <v>5000</v>
      </c>
      <c r="E7" s="26">
        <v>0.12</v>
      </c>
      <c r="F7" s="27">
        <f t="shared" si="0"/>
        <v>16.8</v>
      </c>
      <c r="H7" s="30" t="s">
        <v>34</v>
      </c>
      <c r="I7" s="30"/>
      <c r="J7" s="31">
        <f>MIN(F4:F23)</f>
        <v>7.8000000000000007</v>
      </c>
      <c r="K7" s="31"/>
    </row>
    <row r="8" spans="1:16" x14ac:dyDescent="0.3">
      <c r="A8" s="9">
        <v>5</v>
      </c>
      <c r="B8" s="9" t="s">
        <v>152</v>
      </c>
      <c r="C8" s="9">
        <v>90</v>
      </c>
      <c r="D8" s="9">
        <v>18000</v>
      </c>
      <c r="E8" s="26">
        <v>0.15</v>
      </c>
      <c r="F8" s="27">
        <f t="shared" si="0"/>
        <v>13.5</v>
      </c>
      <c r="H8" s="30" t="s">
        <v>36</v>
      </c>
      <c r="I8" s="30"/>
      <c r="J8" s="31">
        <f>MAX(F4:F25)</f>
        <v>57</v>
      </c>
      <c r="K8" s="31"/>
    </row>
    <row r="9" spans="1:16" x14ac:dyDescent="0.3">
      <c r="A9" s="9">
        <v>6</v>
      </c>
      <c r="B9" s="9" t="s">
        <v>153</v>
      </c>
      <c r="C9" s="9">
        <v>210</v>
      </c>
      <c r="D9" s="9">
        <v>25000</v>
      </c>
      <c r="E9" s="26">
        <v>0.06</v>
      </c>
      <c r="F9" s="27">
        <f t="shared" si="0"/>
        <v>12.6</v>
      </c>
    </row>
    <row r="10" spans="1:16" x14ac:dyDescent="0.3">
      <c r="A10" s="9">
        <v>7</v>
      </c>
      <c r="B10" s="9" t="s">
        <v>154</v>
      </c>
      <c r="C10" s="9">
        <v>160</v>
      </c>
      <c r="D10" s="9">
        <v>4000</v>
      </c>
      <c r="E10" s="26">
        <v>0.18</v>
      </c>
      <c r="F10" s="27">
        <f t="shared" si="0"/>
        <v>28.799999999999997</v>
      </c>
    </row>
    <row r="11" spans="1:16" ht="22.8" x14ac:dyDescent="0.45">
      <c r="A11" s="9">
        <v>8</v>
      </c>
      <c r="B11" s="9" t="s">
        <v>155</v>
      </c>
      <c r="C11" s="9">
        <v>110</v>
      </c>
      <c r="D11" s="9">
        <v>3000</v>
      </c>
      <c r="E11" s="26">
        <v>0.2</v>
      </c>
      <c r="F11" s="27">
        <f t="shared" si="0"/>
        <v>22</v>
      </c>
      <c r="H11" s="39" t="s">
        <v>37</v>
      </c>
      <c r="I11" s="39"/>
      <c r="J11" s="39"/>
      <c r="K11" s="39"/>
      <c r="M11" s="39" t="s">
        <v>47</v>
      </c>
      <c r="N11" s="39"/>
      <c r="O11" s="39"/>
      <c r="P11" s="39"/>
    </row>
    <row r="12" spans="1:16" x14ac:dyDescent="0.3">
      <c r="A12" s="9">
        <v>9</v>
      </c>
      <c r="B12" s="9" t="s">
        <v>156</v>
      </c>
      <c r="C12" s="9">
        <v>200</v>
      </c>
      <c r="D12" s="9">
        <v>10000</v>
      </c>
      <c r="E12" s="26">
        <v>0.09</v>
      </c>
      <c r="F12" s="27">
        <f t="shared" si="0"/>
        <v>18</v>
      </c>
      <c r="H12" s="30" t="s">
        <v>38</v>
      </c>
      <c r="I12" s="30"/>
      <c r="J12" s="31" t="str">
        <f>IF(D4&gt;25000,"minimum","maximum")</f>
        <v>maximum</v>
      </c>
      <c r="K12" s="31"/>
      <c r="M12" s="30" t="s">
        <v>48</v>
      </c>
      <c r="N12" s="30"/>
      <c r="O12" s="31">
        <f>VLOOKUP(1,A4:E23,4,FALSE)</f>
        <v>15000</v>
      </c>
      <c r="P12" s="31"/>
    </row>
    <row r="13" spans="1:16" x14ac:dyDescent="0.3">
      <c r="A13" s="9">
        <v>10</v>
      </c>
      <c r="B13" s="9" t="s">
        <v>157</v>
      </c>
      <c r="C13" s="9">
        <v>175</v>
      </c>
      <c r="D13" s="9">
        <v>27000</v>
      </c>
      <c r="E13" s="26">
        <v>0.05</v>
      </c>
      <c r="F13" s="27">
        <f t="shared" si="0"/>
        <v>8.75</v>
      </c>
      <c r="H13" s="30" t="s">
        <v>39</v>
      </c>
      <c r="I13" s="30"/>
      <c r="J13" s="31" t="b">
        <f>AND(D4&gt;20000,D7&lt;20000)</f>
        <v>0</v>
      </c>
      <c r="K13" s="31"/>
      <c r="M13" s="30" t="s">
        <v>49</v>
      </c>
      <c r="N13" s="30"/>
      <c r="O13" s="38">
        <f>HLOOKUP("Total Cost",A3:E23,3,FALSE)</f>
        <v>22000</v>
      </c>
      <c r="P13" s="38"/>
    </row>
    <row r="14" spans="1:16" x14ac:dyDescent="0.3">
      <c r="A14" s="9">
        <v>11</v>
      </c>
      <c r="B14" s="9" t="s">
        <v>158</v>
      </c>
      <c r="C14" s="9">
        <v>130</v>
      </c>
      <c r="D14" s="9">
        <v>9000</v>
      </c>
      <c r="E14" s="26">
        <v>7.0000000000000007E-2</v>
      </c>
      <c r="F14" s="27">
        <f t="shared" si="0"/>
        <v>9.1000000000000014</v>
      </c>
      <c r="H14" s="30" t="s">
        <v>40</v>
      </c>
      <c r="I14" s="30"/>
      <c r="J14" s="31" t="b">
        <f>OR(D4&gt;30000,D7&lt;30000)</f>
        <v>1</v>
      </c>
      <c r="K14" s="31"/>
      <c r="M14" s="30" t="s">
        <v>50</v>
      </c>
      <c r="N14" s="30"/>
      <c r="O14" s="38">
        <f>_xlfn.XLOOKUP(3,A4:A23,D4:D23)</f>
        <v>12000</v>
      </c>
      <c r="P14" s="38"/>
    </row>
    <row r="15" spans="1:16" x14ac:dyDescent="0.3">
      <c r="A15" s="9">
        <v>12</v>
      </c>
      <c r="B15" s="9" t="s">
        <v>159</v>
      </c>
      <c r="C15" s="9">
        <v>145</v>
      </c>
      <c r="D15" s="9">
        <v>3500</v>
      </c>
      <c r="E15" s="26">
        <v>0.16</v>
      </c>
      <c r="F15" s="27">
        <f t="shared" si="0"/>
        <v>23.2</v>
      </c>
    </row>
    <row r="16" spans="1:16" x14ac:dyDescent="0.3">
      <c r="A16" s="9">
        <v>13</v>
      </c>
      <c r="B16" s="9" t="s">
        <v>160</v>
      </c>
      <c r="C16" s="9">
        <v>75</v>
      </c>
      <c r="D16" s="9">
        <v>30000</v>
      </c>
      <c r="E16" s="26">
        <v>0.22</v>
      </c>
      <c r="F16" s="27">
        <f t="shared" si="0"/>
        <v>16.5</v>
      </c>
    </row>
    <row r="17" spans="1:16" ht="22.8" x14ac:dyDescent="0.45">
      <c r="A17" s="9">
        <v>14</v>
      </c>
      <c r="B17" s="9" t="s">
        <v>161</v>
      </c>
      <c r="C17" s="9">
        <v>190</v>
      </c>
      <c r="D17" s="9">
        <v>8000</v>
      </c>
      <c r="E17" s="26">
        <v>0.14000000000000001</v>
      </c>
      <c r="F17" s="27">
        <f t="shared" si="0"/>
        <v>26.6</v>
      </c>
      <c r="H17" s="39" t="s">
        <v>41</v>
      </c>
      <c r="I17" s="39"/>
      <c r="J17" s="39"/>
      <c r="K17" s="39"/>
      <c r="M17" s="39" t="s">
        <v>57</v>
      </c>
      <c r="N17" s="39"/>
      <c r="O17" s="39"/>
      <c r="P17" s="39"/>
    </row>
    <row r="18" spans="1:16" x14ac:dyDescent="0.3">
      <c r="A18" s="9">
        <v>15</v>
      </c>
      <c r="B18" s="9" t="s">
        <v>162</v>
      </c>
      <c r="C18" s="9">
        <v>155</v>
      </c>
      <c r="D18" s="9">
        <v>11000</v>
      </c>
      <c r="E18" s="26">
        <v>0.11</v>
      </c>
      <c r="F18" s="27">
        <f t="shared" si="0"/>
        <v>17.05</v>
      </c>
      <c r="H18" s="30" t="s">
        <v>134</v>
      </c>
      <c r="I18" s="30"/>
      <c r="J18" s="31" t="str">
        <f>LEFT(C5,3)</f>
        <v>320</v>
      </c>
      <c r="K18" s="31"/>
      <c r="M18" s="30" t="s">
        <v>52</v>
      </c>
      <c r="N18" s="30"/>
      <c r="O18" s="44">
        <f>AVERAGE(D4:D23)</f>
        <v>14775</v>
      </c>
      <c r="P18" s="44"/>
    </row>
    <row r="19" spans="1:16" x14ac:dyDescent="0.3">
      <c r="A19" s="9">
        <v>16</v>
      </c>
      <c r="B19" s="9" t="s">
        <v>163</v>
      </c>
      <c r="C19" s="9">
        <v>280</v>
      </c>
      <c r="D19" s="9">
        <v>26000</v>
      </c>
      <c r="E19" s="26">
        <v>0.06</v>
      </c>
      <c r="F19" s="27">
        <f t="shared" si="0"/>
        <v>16.8</v>
      </c>
      <c r="H19" s="30" t="s">
        <v>135</v>
      </c>
      <c r="I19" s="30"/>
      <c r="J19" s="31" t="str">
        <f>RIGHT(C6,2)</f>
        <v>80</v>
      </c>
      <c r="K19" s="31"/>
      <c r="M19" s="30" t="s">
        <v>53</v>
      </c>
      <c r="N19" s="30"/>
      <c r="O19" s="31">
        <f>MEDIAN(D4:D23)</f>
        <v>14500</v>
      </c>
      <c r="P19" s="31"/>
    </row>
    <row r="20" spans="1:16" x14ac:dyDescent="0.3">
      <c r="A20" s="9">
        <v>17</v>
      </c>
      <c r="B20" s="9" t="s">
        <v>164</v>
      </c>
      <c r="C20" s="9">
        <v>60</v>
      </c>
      <c r="D20" s="9">
        <v>15000</v>
      </c>
      <c r="E20" s="26">
        <v>0.13</v>
      </c>
      <c r="F20" s="27">
        <f t="shared" si="0"/>
        <v>7.8000000000000007</v>
      </c>
      <c r="H20" s="30" t="s">
        <v>136</v>
      </c>
      <c r="I20" s="30"/>
      <c r="J20" s="31" t="str">
        <f>MID(B12,2,3)</f>
        <v>109</v>
      </c>
      <c r="K20" s="31"/>
      <c r="M20" s="30" t="s">
        <v>55</v>
      </c>
      <c r="N20" s="30"/>
      <c r="O20" s="31">
        <f>_xlfn.MODE.SNGL(D4:D23)</f>
        <v>15000</v>
      </c>
      <c r="P20" s="31"/>
    </row>
    <row r="21" spans="1:16" x14ac:dyDescent="0.3">
      <c r="A21" s="9">
        <v>18</v>
      </c>
      <c r="B21" s="9" t="s">
        <v>165</v>
      </c>
      <c r="C21" s="9">
        <v>95</v>
      </c>
      <c r="D21" s="9">
        <v>20000</v>
      </c>
      <c r="E21" s="26">
        <v>0.09</v>
      </c>
      <c r="F21" s="27">
        <f t="shared" si="0"/>
        <v>8.5499999999999989</v>
      </c>
      <c r="H21" s="30" t="s">
        <v>42</v>
      </c>
      <c r="I21" s="30"/>
      <c r="J21" s="31" t="str">
        <f>_xlfn.CONCAT(B6,"_",C6)</f>
        <v>C103_180</v>
      </c>
      <c r="K21" s="31"/>
      <c r="M21" s="42" t="s">
        <v>51</v>
      </c>
      <c r="N21" s="42"/>
      <c r="O21" s="43">
        <f>_xlfn.STDEV.S(D4:D23)</f>
        <v>8316.8740964885419</v>
      </c>
      <c r="P21" s="43"/>
    </row>
    <row r="22" spans="1:16" x14ac:dyDescent="0.3">
      <c r="A22" s="9">
        <v>19</v>
      </c>
      <c r="B22" s="9" t="s">
        <v>166</v>
      </c>
      <c r="C22" s="9">
        <v>220</v>
      </c>
      <c r="D22" s="9">
        <v>14000</v>
      </c>
      <c r="E22" s="26">
        <v>0.17</v>
      </c>
      <c r="F22" s="27">
        <f t="shared" si="0"/>
        <v>37.400000000000006</v>
      </c>
      <c r="M22" s="40" t="s">
        <v>54</v>
      </c>
      <c r="N22" s="40"/>
      <c r="O22" s="41">
        <f>CORREL(D4:D23,E4:E23)</f>
        <v>-0.26922072608616049</v>
      </c>
      <c r="P22" s="41"/>
    </row>
    <row r="23" spans="1:16" x14ac:dyDescent="0.3">
      <c r="A23" s="9">
        <v>20</v>
      </c>
      <c r="B23" s="9" t="s">
        <v>167</v>
      </c>
      <c r="C23" s="9">
        <v>300</v>
      </c>
      <c r="D23" s="9">
        <v>18000</v>
      </c>
      <c r="E23" s="26">
        <v>0.19</v>
      </c>
      <c r="F23" s="27">
        <f t="shared" si="0"/>
        <v>57</v>
      </c>
    </row>
    <row r="25" spans="1:16" x14ac:dyDescent="0.3">
      <c r="C25" s="21" t="s">
        <v>144</v>
      </c>
      <c r="D25" s="21" t="s">
        <v>170</v>
      </c>
      <c r="E25" s="21" t="s">
        <v>172</v>
      </c>
    </row>
    <row r="26" spans="1:16" x14ac:dyDescent="0.3">
      <c r="C26" s="23" t="s">
        <v>148</v>
      </c>
      <c r="D26" s="23">
        <v>15000</v>
      </c>
      <c r="E26" s="23">
        <v>20</v>
      </c>
    </row>
    <row r="27" spans="1:16" x14ac:dyDescent="0.3">
      <c r="C27" s="23" t="s">
        <v>149</v>
      </c>
      <c r="D27" s="23">
        <v>22000</v>
      </c>
      <c r="E27" s="23">
        <v>32</v>
      </c>
    </row>
    <row r="28" spans="1:16" x14ac:dyDescent="0.3">
      <c r="C28" s="23" t="s">
        <v>150</v>
      </c>
      <c r="D28" s="23">
        <v>12000</v>
      </c>
      <c r="E28" s="23">
        <v>12.600000000000001</v>
      </c>
    </row>
    <row r="29" spans="1:16" x14ac:dyDescent="0.3">
      <c r="C29" s="23" t="s">
        <v>151</v>
      </c>
      <c r="D29" s="23">
        <v>5000</v>
      </c>
      <c r="E29" s="23">
        <v>16.8</v>
      </c>
    </row>
    <row r="30" spans="1:16" x14ac:dyDescent="0.3">
      <c r="C30" s="23" t="s">
        <v>152</v>
      </c>
      <c r="D30" s="23">
        <v>18000</v>
      </c>
      <c r="E30" s="23">
        <v>13.5</v>
      </c>
    </row>
    <row r="31" spans="1:16" x14ac:dyDescent="0.3">
      <c r="C31" s="23" t="s">
        <v>153</v>
      </c>
      <c r="D31" s="23">
        <v>25000</v>
      </c>
      <c r="E31" s="23">
        <v>12.6</v>
      </c>
    </row>
    <row r="32" spans="1:16" x14ac:dyDescent="0.3">
      <c r="C32" s="23" t="s">
        <v>154</v>
      </c>
      <c r="D32" s="23">
        <v>4000</v>
      </c>
      <c r="E32" s="23">
        <v>28.799999999999997</v>
      </c>
    </row>
    <row r="33" spans="3:5" x14ac:dyDescent="0.3">
      <c r="C33" s="23" t="s">
        <v>155</v>
      </c>
      <c r="D33" s="23">
        <v>3000</v>
      </c>
      <c r="E33" s="23">
        <v>22</v>
      </c>
    </row>
    <row r="34" spans="3:5" x14ac:dyDescent="0.3">
      <c r="C34" s="23" t="s">
        <v>156</v>
      </c>
      <c r="D34" s="23">
        <v>10000</v>
      </c>
      <c r="E34" s="23">
        <v>18</v>
      </c>
    </row>
    <row r="35" spans="3:5" x14ac:dyDescent="0.3">
      <c r="C35" s="23" t="s">
        <v>157</v>
      </c>
      <c r="D35" s="23">
        <v>27000</v>
      </c>
      <c r="E35" s="23">
        <v>8.75</v>
      </c>
    </row>
    <row r="36" spans="3:5" x14ac:dyDescent="0.3">
      <c r="C36" s="23" t="s">
        <v>158</v>
      </c>
      <c r="D36" s="23">
        <v>9000</v>
      </c>
      <c r="E36" s="23">
        <v>9.1000000000000014</v>
      </c>
    </row>
    <row r="37" spans="3:5" x14ac:dyDescent="0.3">
      <c r="C37" s="23" t="s">
        <v>159</v>
      </c>
      <c r="D37" s="23">
        <v>3500</v>
      </c>
      <c r="E37" s="23">
        <v>23.2</v>
      </c>
    </row>
    <row r="38" spans="3:5" x14ac:dyDescent="0.3">
      <c r="C38" s="23" t="s">
        <v>160</v>
      </c>
      <c r="D38" s="23">
        <v>30000</v>
      </c>
      <c r="E38" s="23">
        <v>16.5</v>
      </c>
    </row>
    <row r="39" spans="3:5" x14ac:dyDescent="0.3">
      <c r="C39" s="23" t="s">
        <v>161</v>
      </c>
      <c r="D39" s="23">
        <v>8000</v>
      </c>
      <c r="E39" s="23">
        <v>26.6</v>
      </c>
    </row>
    <row r="40" spans="3:5" x14ac:dyDescent="0.3">
      <c r="C40" s="23" t="s">
        <v>162</v>
      </c>
      <c r="D40" s="23">
        <v>11000</v>
      </c>
      <c r="E40" s="23">
        <v>17.05</v>
      </c>
    </row>
    <row r="41" spans="3:5" x14ac:dyDescent="0.3">
      <c r="C41" s="23" t="s">
        <v>163</v>
      </c>
      <c r="D41" s="23">
        <v>26000</v>
      </c>
      <c r="E41" s="23">
        <v>16.8</v>
      </c>
    </row>
    <row r="42" spans="3:5" x14ac:dyDescent="0.3">
      <c r="C42" s="23" t="s">
        <v>164</v>
      </c>
      <c r="D42" s="23">
        <v>15000</v>
      </c>
      <c r="E42" s="23">
        <v>7.8000000000000007</v>
      </c>
    </row>
    <row r="43" spans="3:5" x14ac:dyDescent="0.3">
      <c r="C43" s="23" t="s">
        <v>165</v>
      </c>
      <c r="D43" s="23">
        <v>20000</v>
      </c>
      <c r="E43" s="23">
        <v>8.5499999999999989</v>
      </c>
    </row>
    <row r="44" spans="3:5" x14ac:dyDescent="0.3">
      <c r="C44" s="23" t="s">
        <v>166</v>
      </c>
      <c r="D44" s="23">
        <v>14000</v>
      </c>
      <c r="E44" s="23">
        <v>37.400000000000006</v>
      </c>
    </row>
    <row r="45" spans="3:5" x14ac:dyDescent="0.3">
      <c r="C45" s="23" t="s">
        <v>167</v>
      </c>
      <c r="D45" s="23">
        <v>18000</v>
      </c>
      <c r="E45" s="23">
        <v>57</v>
      </c>
    </row>
    <row r="46" spans="3:5" x14ac:dyDescent="0.3">
      <c r="C46" s="20" t="s">
        <v>145</v>
      </c>
      <c r="D46" s="20">
        <v>295500</v>
      </c>
      <c r="E46" s="20">
        <v>405.05000000000007</v>
      </c>
    </row>
  </sheetData>
  <mergeCells count="54">
    <mergeCell ref="H21:I21"/>
    <mergeCell ref="J21:K21"/>
    <mergeCell ref="M21:N21"/>
    <mergeCell ref="O21:P21"/>
    <mergeCell ref="M22:N22"/>
    <mergeCell ref="O22:P22"/>
    <mergeCell ref="H19:I19"/>
    <mergeCell ref="J19:K19"/>
    <mergeCell ref="M19:N19"/>
    <mergeCell ref="O19:P19"/>
    <mergeCell ref="H20:I20"/>
    <mergeCell ref="J20:K20"/>
    <mergeCell ref="M20:N20"/>
    <mergeCell ref="O20:P20"/>
    <mergeCell ref="H17:K17"/>
    <mergeCell ref="M17:P17"/>
    <mergeCell ref="H18:I18"/>
    <mergeCell ref="J18:K18"/>
    <mergeCell ref="M18:N18"/>
    <mergeCell ref="O18:P18"/>
    <mergeCell ref="H13:I13"/>
    <mergeCell ref="J13:K13"/>
    <mergeCell ref="M13:N13"/>
    <mergeCell ref="O13:P13"/>
    <mergeCell ref="H14:I14"/>
    <mergeCell ref="J14:K14"/>
    <mergeCell ref="M14:N14"/>
    <mergeCell ref="O14:P14"/>
    <mergeCell ref="H11:K11"/>
    <mergeCell ref="M11:P11"/>
    <mergeCell ref="H12:I12"/>
    <mergeCell ref="J12:K12"/>
    <mergeCell ref="M12:N12"/>
    <mergeCell ref="O12:P12"/>
    <mergeCell ref="H7:I7"/>
    <mergeCell ref="J7:K7"/>
    <mergeCell ref="H8:I8"/>
    <mergeCell ref="J8:K8"/>
    <mergeCell ref="H5:I5"/>
    <mergeCell ref="J5:K5"/>
    <mergeCell ref="M5:N5"/>
    <mergeCell ref="O5:P5"/>
    <mergeCell ref="H6:I6"/>
    <mergeCell ref="J6:K6"/>
    <mergeCell ref="M6:N6"/>
    <mergeCell ref="O6:P6"/>
    <mergeCell ref="A2:F2"/>
    <mergeCell ref="H2:P2"/>
    <mergeCell ref="H3:K3"/>
    <mergeCell ref="M3:P3"/>
    <mergeCell ref="H4:I4"/>
    <mergeCell ref="J4:K4"/>
    <mergeCell ref="M4:N4"/>
    <mergeCell ref="O4:P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855C-CC93-449E-A201-69898F2DDE81}">
  <dimension ref="A2:P31"/>
  <sheetViews>
    <sheetView workbookViewId="0">
      <selection activeCell="M10" sqref="M10"/>
    </sheetView>
  </sheetViews>
  <sheetFormatPr defaultRowHeight="14.4" x14ac:dyDescent="0.3"/>
  <cols>
    <col min="1" max="1" width="12.44140625" bestFit="1" customWidth="1"/>
    <col min="2" max="2" width="15.109375" bestFit="1" customWidth="1"/>
    <col min="3" max="3" width="13.88671875" bestFit="1" customWidth="1"/>
    <col min="5" max="5" width="16.5546875" bestFit="1" customWidth="1"/>
    <col min="6" max="6" width="9.6640625" bestFit="1" customWidth="1"/>
    <col min="11" max="11" width="12" customWidth="1"/>
    <col min="14" max="14" width="15.44140625" customWidth="1"/>
  </cols>
  <sheetData>
    <row r="2" spans="1:16" ht="25.2" x14ac:dyDescent="0.5">
      <c r="A2" s="28" t="s">
        <v>143</v>
      </c>
      <c r="B2" s="28"/>
      <c r="C2" s="28"/>
      <c r="D2" s="28"/>
      <c r="E2" s="28"/>
      <c r="F2" s="28"/>
      <c r="H2" s="28" t="s">
        <v>56</v>
      </c>
      <c r="I2" s="28"/>
      <c r="J2" s="28"/>
      <c r="K2" s="28"/>
      <c r="L2" s="28"/>
      <c r="M2" s="28"/>
      <c r="N2" s="28"/>
      <c r="O2" s="28"/>
      <c r="P2" s="28"/>
    </row>
    <row r="3" spans="1:16" ht="22.8" x14ac:dyDescent="0.45">
      <c r="A3" s="11" t="s">
        <v>93</v>
      </c>
      <c r="B3" s="8" t="s">
        <v>97</v>
      </c>
      <c r="C3" s="8" t="s">
        <v>98</v>
      </c>
      <c r="D3" s="8" t="s">
        <v>141</v>
      </c>
      <c r="E3" s="8" t="s">
        <v>127</v>
      </c>
      <c r="F3" s="8" t="s">
        <v>99</v>
      </c>
      <c r="H3" s="29" t="s">
        <v>30</v>
      </c>
      <c r="I3" s="29"/>
      <c r="J3" s="29"/>
      <c r="K3" s="29"/>
      <c r="M3" s="29" t="s">
        <v>43</v>
      </c>
      <c r="N3" s="29"/>
      <c r="O3" s="29"/>
      <c r="P3" s="29"/>
    </row>
    <row r="4" spans="1:16" x14ac:dyDescent="0.3">
      <c r="A4" s="2">
        <v>1</v>
      </c>
      <c r="B4" s="9" t="s">
        <v>100</v>
      </c>
      <c r="C4" s="9" t="s">
        <v>101</v>
      </c>
      <c r="D4" s="9">
        <v>25000</v>
      </c>
      <c r="E4" s="9">
        <v>2</v>
      </c>
      <c r="F4" s="9" t="s">
        <v>102</v>
      </c>
      <c r="H4" s="30" t="s">
        <v>174</v>
      </c>
      <c r="I4" s="30"/>
      <c r="J4" s="31">
        <f>SUM(D4:D23)</f>
        <v>798000</v>
      </c>
      <c r="K4" s="31"/>
      <c r="M4" s="30" t="s">
        <v>44</v>
      </c>
      <c r="N4" s="30"/>
      <c r="O4" s="32">
        <f ca="1">TODAY()</f>
        <v>46073</v>
      </c>
      <c r="P4" s="31"/>
    </row>
    <row r="5" spans="1:16" x14ac:dyDescent="0.3">
      <c r="A5" s="2">
        <v>2</v>
      </c>
      <c r="B5" s="9" t="s">
        <v>103</v>
      </c>
      <c r="C5" s="9" t="s">
        <v>104</v>
      </c>
      <c r="D5" s="9">
        <v>40000</v>
      </c>
      <c r="E5" s="9">
        <v>5</v>
      </c>
      <c r="F5" s="9" t="s">
        <v>102</v>
      </c>
      <c r="H5" s="30" t="s">
        <v>175</v>
      </c>
      <c r="I5" s="30"/>
      <c r="J5" s="36">
        <f>COUNT(D4:D23)</f>
        <v>20</v>
      </c>
      <c r="K5" s="37"/>
      <c r="M5" s="30" t="s">
        <v>45</v>
      </c>
      <c r="N5" s="30"/>
      <c r="O5" s="33">
        <f ca="1">NOW()</f>
        <v>46073.793405902776</v>
      </c>
      <c r="P5" s="31"/>
    </row>
    <row r="6" spans="1:16" x14ac:dyDescent="0.3">
      <c r="A6" s="2">
        <v>3</v>
      </c>
      <c r="B6" s="9" t="s">
        <v>105</v>
      </c>
      <c r="C6" s="9" t="s">
        <v>106</v>
      </c>
      <c r="D6" s="9">
        <v>55000</v>
      </c>
      <c r="E6" s="9">
        <v>7</v>
      </c>
      <c r="F6" s="9" t="s">
        <v>107</v>
      </c>
      <c r="H6" s="30" t="s">
        <v>176</v>
      </c>
      <c r="I6" s="30"/>
      <c r="J6" s="34">
        <f>AVERAGE(D4:D23)</f>
        <v>39900</v>
      </c>
      <c r="K6" s="35"/>
      <c r="M6" s="30" t="s">
        <v>46</v>
      </c>
      <c r="N6" s="30"/>
      <c r="O6" s="31">
        <f>DATEDIF(A4,A23,"D")</f>
        <v>19</v>
      </c>
      <c r="P6" s="31"/>
    </row>
    <row r="7" spans="1:16" x14ac:dyDescent="0.3">
      <c r="A7" s="2">
        <v>4</v>
      </c>
      <c r="B7" s="9" t="s">
        <v>108</v>
      </c>
      <c r="C7" s="9" t="s">
        <v>109</v>
      </c>
      <c r="D7" s="9">
        <v>30000</v>
      </c>
      <c r="E7" s="9">
        <v>3</v>
      </c>
      <c r="F7" s="9" t="s">
        <v>102</v>
      </c>
      <c r="H7" s="30" t="s">
        <v>177</v>
      </c>
      <c r="I7" s="30"/>
      <c r="J7" s="36">
        <f>MIN(D4:D23)</f>
        <v>24000</v>
      </c>
      <c r="K7" s="37"/>
    </row>
    <row r="8" spans="1:16" x14ac:dyDescent="0.3">
      <c r="A8" s="2">
        <v>5</v>
      </c>
      <c r="B8" s="9" t="s">
        <v>110</v>
      </c>
      <c r="C8" s="9" t="s">
        <v>111</v>
      </c>
      <c r="D8" s="9">
        <v>28000</v>
      </c>
      <c r="E8" s="9">
        <v>2</v>
      </c>
      <c r="F8" s="9" t="s">
        <v>107</v>
      </c>
      <c r="H8" s="30" t="s">
        <v>178</v>
      </c>
      <c r="I8" s="30"/>
      <c r="J8" s="36">
        <f>MAX(D4:D23)</f>
        <v>70000</v>
      </c>
      <c r="K8" s="37"/>
    </row>
    <row r="9" spans="1:16" x14ac:dyDescent="0.3">
      <c r="A9" s="2">
        <v>6</v>
      </c>
      <c r="B9" s="9" t="s">
        <v>112</v>
      </c>
      <c r="C9" s="9" t="s">
        <v>106</v>
      </c>
      <c r="D9" s="9">
        <v>60000</v>
      </c>
      <c r="E9" s="9">
        <v>8</v>
      </c>
      <c r="F9" s="9" t="s">
        <v>102</v>
      </c>
    </row>
    <row r="10" spans="1:16" x14ac:dyDescent="0.3">
      <c r="A10" s="2">
        <v>7</v>
      </c>
      <c r="B10" s="9" t="s">
        <v>113</v>
      </c>
      <c r="C10" s="9" t="s">
        <v>101</v>
      </c>
      <c r="D10" s="9">
        <v>27000</v>
      </c>
      <c r="E10" s="9">
        <v>3</v>
      </c>
      <c r="F10" s="9" t="s">
        <v>102</v>
      </c>
    </row>
    <row r="11" spans="1:16" x14ac:dyDescent="0.3">
      <c r="A11" s="2">
        <v>8</v>
      </c>
      <c r="B11" s="9" t="s">
        <v>114</v>
      </c>
      <c r="C11" s="9" t="s">
        <v>104</v>
      </c>
      <c r="D11" s="9">
        <v>45000</v>
      </c>
      <c r="E11" s="9">
        <v>6</v>
      </c>
      <c r="F11" s="9" t="s">
        <v>107</v>
      </c>
    </row>
    <row r="12" spans="1:16" ht="22.8" x14ac:dyDescent="0.45">
      <c r="A12" s="2">
        <v>9</v>
      </c>
      <c r="B12" s="9" t="s">
        <v>115</v>
      </c>
      <c r="C12" s="9" t="s">
        <v>111</v>
      </c>
      <c r="D12" s="9">
        <v>32000</v>
      </c>
      <c r="E12" s="9">
        <v>4</v>
      </c>
      <c r="F12" s="9" t="s">
        <v>102</v>
      </c>
      <c r="H12" s="39" t="s">
        <v>37</v>
      </c>
      <c r="I12" s="39"/>
      <c r="J12" s="39"/>
      <c r="K12" s="39"/>
      <c r="M12" s="39" t="s">
        <v>47</v>
      </c>
      <c r="N12" s="39"/>
      <c r="O12" s="39"/>
      <c r="P12" s="39"/>
    </row>
    <row r="13" spans="1:16" x14ac:dyDescent="0.3">
      <c r="A13" s="2">
        <v>10</v>
      </c>
      <c r="B13" s="9" t="s">
        <v>116</v>
      </c>
      <c r="C13" s="9" t="s">
        <v>109</v>
      </c>
      <c r="D13" s="9">
        <v>35000</v>
      </c>
      <c r="E13" s="9">
        <v>5</v>
      </c>
      <c r="F13" s="9" t="s">
        <v>102</v>
      </c>
      <c r="H13" s="30" t="s">
        <v>38</v>
      </c>
      <c r="I13" s="30"/>
      <c r="J13" s="31" t="str">
        <f>IF(E4&gt;25000,"minimum","maximum")</f>
        <v>maximum</v>
      </c>
      <c r="K13" s="31"/>
      <c r="M13" s="30" t="s">
        <v>48</v>
      </c>
      <c r="N13" s="30"/>
      <c r="O13" s="31">
        <f>VLOOKUP(1,A4:F23,4,FALSE)</f>
        <v>25000</v>
      </c>
      <c r="P13" s="31"/>
    </row>
    <row r="14" spans="1:16" x14ac:dyDescent="0.3">
      <c r="A14" s="2">
        <v>11</v>
      </c>
      <c r="B14" s="9" t="s">
        <v>117</v>
      </c>
      <c r="C14" s="9" t="s">
        <v>106</v>
      </c>
      <c r="D14" s="9">
        <v>70000</v>
      </c>
      <c r="E14" s="9">
        <v>10</v>
      </c>
      <c r="F14" s="9" t="s">
        <v>102</v>
      </c>
      <c r="H14" s="30" t="s">
        <v>39</v>
      </c>
      <c r="I14" s="30"/>
      <c r="J14" s="31" t="b">
        <f>AND(E4&gt;20000,E7&lt;20000)</f>
        <v>0</v>
      </c>
      <c r="K14" s="31"/>
      <c r="M14" s="30" t="s">
        <v>49</v>
      </c>
      <c r="N14" s="30"/>
      <c r="O14" s="38">
        <f>HLOOKUP("Salary",A3:F23, 3,FALSE)</f>
        <v>40000</v>
      </c>
      <c r="P14" s="38"/>
    </row>
    <row r="15" spans="1:16" x14ac:dyDescent="0.3">
      <c r="A15" s="2">
        <v>12</v>
      </c>
      <c r="B15" s="9" t="s">
        <v>118</v>
      </c>
      <c r="C15" s="9" t="s">
        <v>101</v>
      </c>
      <c r="D15" s="9">
        <v>26000</v>
      </c>
      <c r="E15" s="9">
        <v>2</v>
      </c>
      <c r="F15" s="9" t="s">
        <v>107</v>
      </c>
      <c r="H15" s="30" t="s">
        <v>40</v>
      </c>
      <c r="I15" s="30"/>
      <c r="J15" s="31" t="b">
        <f>OR(E4&gt;30000,E7&lt;30000)</f>
        <v>1</v>
      </c>
      <c r="K15" s="31"/>
      <c r="M15" s="30" t="s">
        <v>50</v>
      </c>
      <c r="N15" s="30"/>
      <c r="O15" s="38">
        <f>_xlfn.XLOOKUP(3,A4:A23,D4:D23)</f>
        <v>55000</v>
      </c>
      <c r="P15" s="38"/>
    </row>
    <row r="16" spans="1:16" x14ac:dyDescent="0.3">
      <c r="A16" s="2">
        <v>13</v>
      </c>
      <c r="B16" s="9" t="s">
        <v>119</v>
      </c>
      <c r="C16" s="9" t="s">
        <v>104</v>
      </c>
      <c r="D16" s="9">
        <v>48000</v>
      </c>
      <c r="E16" s="9">
        <v>7</v>
      </c>
      <c r="F16" s="9" t="s">
        <v>102</v>
      </c>
    </row>
    <row r="17" spans="1:16" x14ac:dyDescent="0.3">
      <c r="A17" s="2">
        <v>14</v>
      </c>
      <c r="B17" s="9" t="s">
        <v>120</v>
      </c>
      <c r="C17" s="9" t="s">
        <v>111</v>
      </c>
      <c r="D17" s="9">
        <v>29000</v>
      </c>
      <c r="E17" s="9">
        <v>3</v>
      </c>
      <c r="F17" s="9" t="s">
        <v>107</v>
      </c>
    </row>
    <row r="18" spans="1:16" ht="22.8" x14ac:dyDescent="0.45">
      <c r="A18" s="2">
        <v>15</v>
      </c>
      <c r="B18" s="9" t="s">
        <v>121</v>
      </c>
      <c r="C18" s="9" t="s">
        <v>109</v>
      </c>
      <c r="D18" s="9">
        <v>37000</v>
      </c>
      <c r="E18" s="9">
        <v>6</v>
      </c>
      <c r="F18" s="9" t="s">
        <v>102</v>
      </c>
      <c r="H18" s="39" t="s">
        <v>41</v>
      </c>
      <c r="I18" s="39"/>
      <c r="J18" s="39"/>
      <c r="K18" s="39"/>
      <c r="M18" s="39" t="s">
        <v>57</v>
      </c>
      <c r="N18" s="39"/>
      <c r="O18" s="39"/>
      <c r="P18" s="39"/>
    </row>
    <row r="19" spans="1:16" x14ac:dyDescent="0.3">
      <c r="A19" s="2">
        <v>16</v>
      </c>
      <c r="B19" s="9" t="s">
        <v>122</v>
      </c>
      <c r="C19" s="9" t="s">
        <v>106</v>
      </c>
      <c r="D19" s="9">
        <v>65000</v>
      </c>
      <c r="E19" s="9">
        <v>9</v>
      </c>
      <c r="F19" s="9" t="s">
        <v>102</v>
      </c>
      <c r="H19" s="30" t="s">
        <v>134</v>
      </c>
      <c r="I19" s="30"/>
      <c r="J19" s="31" t="str">
        <f>LEFT(D5,3)</f>
        <v>400</v>
      </c>
      <c r="K19" s="31"/>
      <c r="M19" s="30" t="s">
        <v>52</v>
      </c>
      <c r="N19" s="30"/>
      <c r="O19" s="44">
        <f>AVERAGE(D4:D23)</f>
        <v>39900</v>
      </c>
      <c r="P19" s="44"/>
    </row>
    <row r="20" spans="1:16" x14ac:dyDescent="0.3">
      <c r="A20" s="2">
        <v>17</v>
      </c>
      <c r="B20" s="9" t="s">
        <v>123</v>
      </c>
      <c r="C20" s="9" t="s">
        <v>101</v>
      </c>
      <c r="D20" s="9">
        <v>24000</v>
      </c>
      <c r="E20" s="9">
        <v>1</v>
      </c>
      <c r="F20" s="9" t="s">
        <v>107</v>
      </c>
      <c r="H20" s="30" t="s">
        <v>135</v>
      </c>
      <c r="I20" s="30"/>
      <c r="J20" s="31" t="str">
        <f>RIGHT(D6,2)</f>
        <v>00</v>
      </c>
      <c r="K20" s="31"/>
      <c r="M20" s="30" t="s">
        <v>53</v>
      </c>
      <c r="N20" s="30"/>
      <c r="O20" s="31">
        <f>MEDIAN(D4:D23)</f>
        <v>36000</v>
      </c>
      <c r="P20" s="31"/>
    </row>
    <row r="21" spans="1:16" x14ac:dyDescent="0.3">
      <c r="A21" s="2">
        <v>18</v>
      </c>
      <c r="B21" s="9" t="s">
        <v>124</v>
      </c>
      <c r="C21" s="9" t="s">
        <v>104</v>
      </c>
      <c r="D21" s="9">
        <v>52000</v>
      </c>
      <c r="E21" s="9">
        <v>8</v>
      </c>
      <c r="F21" s="9" t="s">
        <v>102</v>
      </c>
      <c r="H21" s="30" t="s">
        <v>136</v>
      </c>
      <c r="I21" s="30"/>
      <c r="J21" s="31" t="str">
        <f>MID(C12,2,3)</f>
        <v>ale</v>
      </c>
      <c r="K21" s="31"/>
      <c r="M21" s="30" t="s">
        <v>55</v>
      </c>
      <c r="N21" s="30"/>
      <c r="O21" s="31">
        <f>_xlfn.MODE.SNGL(E4:E23)</f>
        <v>2</v>
      </c>
      <c r="P21" s="31"/>
    </row>
    <row r="22" spans="1:16" x14ac:dyDescent="0.3">
      <c r="A22" s="2">
        <v>19</v>
      </c>
      <c r="B22" s="9" t="s">
        <v>125</v>
      </c>
      <c r="C22" s="9" t="s">
        <v>111</v>
      </c>
      <c r="D22" s="9">
        <v>31000</v>
      </c>
      <c r="E22" s="9">
        <v>4</v>
      </c>
      <c r="F22" s="9" t="s">
        <v>102</v>
      </c>
      <c r="H22" s="30" t="s">
        <v>42</v>
      </c>
      <c r="I22" s="30"/>
      <c r="J22" s="31" t="str">
        <f>_xlfn.CONCAT(C6,"_",D6)</f>
        <v>IT_55000</v>
      </c>
      <c r="K22" s="31"/>
      <c r="M22" s="42" t="s">
        <v>51</v>
      </c>
      <c r="N22" s="42"/>
      <c r="O22" s="43">
        <f>_xlfn.STDEV.S(D4:D23)</f>
        <v>14093.298145983394</v>
      </c>
      <c r="P22" s="43"/>
    </row>
    <row r="23" spans="1:16" x14ac:dyDescent="0.3">
      <c r="A23" s="2">
        <v>20</v>
      </c>
      <c r="B23" s="9" t="s">
        <v>126</v>
      </c>
      <c r="C23" s="9" t="s">
        <v>109</v>
      </c>
      <c r="D23" s="9">
        <v>39000</v>
      </c>
      <c r="E23" s="9">
        <v>6</v>
      </c>
      <c r="F23" s="9" t="s">
        <v>107</v>
      </c>
      <c r="M23" s="40" t="s">
        <v>54</v>
      </c>
      <c r="N23" s="40"/>
      <c r="O23" s="41">
        <f>CORREL(D4:D23,E4:E23)</f>
        <v>0.96090655310776296</v>
      </c>
      <c r="P23" s="41"/>
    </row>
    <row r="25" spans="1:16" x14ac:dyDescent="0.3">
      <c r="A25" s="24" t="s">
        <v>144</v>
      </c>
      <c r="B25" s="21" t="s">
        <v>147</v>
      </c>
    </row>
    <row r="26" spans="1:16" x14ac:dyDescent="0.3">
      <c r="A26" s="19" t="s">
        <v>104</v>
      </c>
      <c r="B26" s="20">
        <v>4</v>
      </c>
    </row>
    <row r="27" spans="1:16" x14ac:dyDescent="0.3">
      <c r="A27" s="19" t="s">
        <v>101</v>
      </c>
      <c r="B27" s="20">
        <v>4</v>
      </c>
    </row>
    <row r="28" spans="1:16" x14ac:dyDescent="0.3">
      <c r="A28" s="19" t="s">
        <v>106</v>
      </c>
      <c r="B28" s="20">
        <v>4</v>
      </c>
    </row>
    <row r="29" spans="1:16" x14ac:dyDescent="0.3">
      <c r="A29" s="19" t="s">
        <v>109</v>
      </c>
      <c r="B29" s="20">
        <v>4</v>
      </c>
    </row>
    <row r="30" spans="1:16" x14ac:dyDescent="0.3">
      <c r="A30" s="19" t="s">
        <v>111</v>
      </c>
      <c r="B30" s="20">
        <v>4</v>
      </c>
    </row>
    <row r="31" spans="1:16" x14ac:dyDescent="0.3">
      <c r="A31" s="19" t="s">
        <v>145</v>
      </c>
      <c r="B31" s="20">
        <v>20</v>
      </c>
    </row>
  </sheetData>
  <mergeCells count="54">
    <mergeCell ref="A2:F2"/>
    <mergeCell ref="H22:I22"/>
    <mergeCell ref="J22:K22"/>
    <mergeCell ref="M22:N22"/>
    <mergeCell ref="O22:P22"/>
    <mergeCell ref="H18:K18"/>
    <mergeCell ref="M18:P18"/>
    <mergeCell ref="H19:I19"/>
    <mergeCell ref="J19:K19"/>
    <mergeCell ref="M19:N19"/>
    <mergeCell ref="O19:P19"/>
    <mergeCell ref="H14:I14"/>
    <mergeCell ref="J14:K14"/>
    <mergeCell ref="M14:N14"/>
    <mergeCell ref="O14:P14"/>
    <mergeCell ref="H15:I15"/>
    <mergeCell ref="M23:N23"/>
    <mergeCell ref="O23:P23"/>
    <mergeCell ref="H20:I20"/>
    <mergeCell ref="J20:K20"/>
    <mergeCell ref="M20:N20"/>
    <mergeCell ref="O20:P20"/>
    <mergeCell ref="H21:I21"/>
    <mergeCell ref="J21:K21"/>
    <mergeCell ref="M21:N21"/>
    <mergeCell ref="O21:P21"/>
    <mergeCell ref="J15:K15"/>
    <mergeCell ref="M15:N15"/>
    <mergeCell ref="O15:P15"/>
    <mergeCell ref="H12:K12"/>
    <mergeCell ref="M12:P12"/>
    <mergeCell ref="H13:I13"/>
    <mergeCell ref="J13:K13"/>
    <mergeCell ref="M13:N13"/>
    <mergeCell ref="O13:P13"/>
    <mergeCell ref="H7:I7"/>
    <mergeCell ref="J7:K7"/>
    <mergeCell ref="H8:I8"/>
    <mergeCell ref="J8:K8"/>
    <mergeCell ref="H5:I5"/>
    <mergeCell ref="J5:K5"/>
    <mergeCell ref="M5:N5"/>
    <mergeCell ref="O5:P5"/>
    <mergeCell ref="H6:I6"/>
    <mergeCell ref="J6:K6"/>
    <mergeCell ref="M6:N6"/>
    <mergeCell ref="O6:P6"/>
    <mergeCell ref="H2:P2"/>
    <mergeCell ref="H3:K3"/>
    <mergeCell ref="M3:P3"/>
    <mergeCell ref="H4:I4"/>
    <mergeCell ref="J4:K4"/>
    <mergeCell ref="M4:N4"/>
    <mergeCell ref="O4:P4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F95E-13ED-4A8A-B7AD-48BEEE5F65DB}">
  <dimension ref="A2:T46"/>
  <sheetViews>
    <sheetView workbookViewId="0">
      <selection activeCell="N26" sqref="N26"/>
    </sheetView>
  </sheetViews>
  <sheetFormatPr defaultRowHeight="14.4" x14ac:dyDescent="0.3"/>
  <cols>
    <col min="2" max="2" width="11.21875" bestFit="1" customWidth="1"/>
    <col min="3" max="3" width="12.44140625" bestFit="1" customWidth="1"/>
    <col min="4" max="4" width="16.21875" bestFit="1" customWidth="1"/>
    <col min="5" max="5" width="10.21875" bestFit="1" customWidth="1"/>
    <col min="6" max="6" width="11.21875" bestFit="1" customWidth="1"/>
    <col min="7" max="7" width="12.77734375" bestFit="1" customWidth="1"/>
    <col min="8" max="10" width="12.77734375" customWidth="1"/>
    <col min="15" max="15" width="11.6640625" customWidth="1"/>
    <col min="18" max="18" width="16.21875" customWidth="1"/>
    <col min="19" max="19" width="11.88671875" customWidth="1"/>
    <col min="20" max="20" width="3.77734375" customWidth="1"/>
  </cols>
  <sheetData>
    <row r="2" spans="1:20" ht="25.2" x14ac:dyDescent="0.5">
      <c r="A2" s="28" t="s">
        <v>88</v>
      </c>
      <c r="B2" s="28"/>
      <c r="C2" s="28"/>
      <c r="D2" s="28"/>
      <c r="E2" s="28"/>
      <c r="F2" s="28"/>
      <c r="G2" s="28"/>
      <c r="H2" s="28"/>
      <c r="I2" s="28"/>
      <c r="J2" s="28"/>
      <c r="L2" s="28" t="s">
        <v>56</v>
      </c>
      <c r="M2" s="28"/>
      <c r="N2" s="28"/>
      <c r="O2" s="28"/>
      <c r="P2" s="28"/>
      <c r="Q2" s="28"/>
      <c r="R2" s="28"/>
      <c r="S2" s="28"/>
      <c r="T2" s="28"/>
    </row>
    <row r="3" spans="1:20" ht="22.8" x14ac:dyDescent="0.45">
      <c r="A3" s="11" t="s">
        <v>58</v>
      </c>
      <c r="B3" s="8" t="s">
        <v>1</v>
      </c>
      <c r="C3" s="8" t="s">
        <v>89</v>
      </c>
      <c r="D3" s="8" t="s">
        <v>90</v>
      </c>
      <c r="E3" s="8" t="s">
        <v>91</v>
      </c>
      <c r="F3" s="13" t="s">
        <v>92</v>
      </c>
      <c r="G3" s="8" t="s">
        <v>4</v>
      </c>
      <c r="H3" s="8" t="s">
        <v>137</v>
      </c>
      <c r="I3" s="8" t="s">
        <v>138</v>
      </c>
      <c r="J3" s="8" t="s">
        <v>139</v>
      </c>
      <c r="L3" s="29" t="s">
        <v>30</v>
      </c>
      <c r="M3" s="29"/>
      <c r="N3" s="29"/>
      <c r="O3" s="29"/>
      <c r="Q3" s="29" t="s">
        <v>43</v>
      </c>
      <c r="R3" s="29"/>
      <c r="S3" s="29"/>
      <c r="T3" s="29"/>
    </row>
    <row r="4" spans="1:20" x14ac:dyDescent="0.3">
      <c r="A4" s="12">
        <v>1</v>
      </c>
      <c r="B4" s="7" t="s">
        <v>5</v>
      </c>
      <c r="C4" s="7">
        <v>10</v>
      </c>
      <c r="D4" s="7">
        <v>50000</v>
      </c>
      <c r="E4" s="7">
        <f>C4*D4</f>
        <v>500000</v>
      </c>
      <c r="F4" s="14">
        <v>50000</v>
      </c>
      <c r="G4" s="16">
        <f>E4-F4</f>
        <v>450000</v>
      </c>
      <c r="H4" s="7">
        <v>500000</v>
      </c>
      <c r="I4" s="7">
        <v>550000</v>
      </c>
      <c r="J4" s="17">
        <f>(I4-H4)/H4</f>
        <v>0.1</v>
      </c>
      <c r="L4" s="30" t="s">
        <v>31</v>
      </c>
      <c r="M4" s="30"/>
      <c r="N4" s="31">
        <f>SUM(H4:H33)</f>
        <v>959000</v>
      </c>
      <c r="O4" s="31"/>
      <c r="Q4" s="30" t="s">
        <v>44</v>
      </c>
      <c r="R4" s="30"/>
      <c r="S4" s="32">
        <f ca="1">TODAY()</f>
        <v>46073</v>
      </c>
      <c r="T4" s="31"/>
    </row>
    <row r="5" spans="1:20" x14ac:dyDescent="0.3">
      <c r="A5" s="12">
        <v>2</v>
      </c>
      <c r="B5" s="7" t="s">
        <v>6</v>
      </c>
      <c r="C5" s="7">
        <v>25</v>
      </c>
      <c r="D5" s="7">
        <v>15000</v>
      </c>
      <c r="E5" s="7">
        <f t="shared" ref="E5:E23" si="0">C5*D5</f>
        <v>375000</v>
      </c>
      <c r="F5" s="14">
        <v>12000</v>
      </c>
      <c r="G5" s="16">
        <f t="shared" ref="G5:G23" si="1">E5-F5</f>
        <v>363000</v>
      </c>
      <c r="H5" s="7">
        <v>30000</v>
      </c>
      <c r="I5" s="7">
        <v>28000</v>
      </c>
      <c r="J5" s="17">
        <f t="shared" ref="J5:J23" si="2">(I5-H5)/H5</f>
        <v>-6.6666666666666666E-2</v>
      </c>
      <c r="L5" s="30" t="s">
        <v>32</v>
      </c>
      <c r="M5" s="30"/>
      <c r="N5" s="31">
        <f>COUNT(H4:H33)</f>
        <v>20</v>
      </c>
      <c r="O5" s="31"/>
      <c r="Q5" s="30" t="s">
        <v>45</v>
      </c>
      <c r="R5" s="30"/>
      <c r="S5" s="33">
        <f ca="1">NOW()</f>
        <v>46073.793405902776</v>
      </c>
      <c r="T5" s="31"/>
    </row>
    <row r="6" spans="1:20" x14ac:dyDescent="0.3">
      <c r="A6" s="12">
        <v>3</v>
      </c>
      <c r="B6" s="7" t="s">
        <v>15</v>
      </c>
      <c r="C6" s="7">
        <v>8</v>
      </c>
      <c r="D6" s="7">
        <v>40000</v>
      </c>
      <c r="E6" s="7">
        <f t="shared" si="0"/>
        <v>320000</v>
      </c>
      <c r="F6" s="14">
        <v>3000</v>
      </c>
      <c r="G6" s="16">
        <f t="shared" si="1"/>
        <v>317000</v>
      </c>
      <c r="H6" s="7">
        <v>50000</v>
      </c>
      <c r="I6" s="7">
        <v>50000</v>
      </c>
      <c r="J6" s="17">
        <f t="shared" si="2"/>
        <v>0</v>
      </c>
      <c r="L6" s="30" t="s">
        <v>33</v>
      </c>
      <c r="M6" s="30"/>
      <c r="N6" s="44">
        <f>AVERAGE(H4:H33)</f>
        <v>47950</v>
      </c>
      <c r="O6" s="44"/>
      <c r="Q6" s="30" t="s">
        <v>46</v>
      </c>
      <c r="R6" s="30"/>
      <c r="S6" s="31">
        <f>DATEDIF(A4,A23,"D")</f>
        <v>19</v>
      </c>
      <c r="T6" s="31"/>
    </row>
    <row r="7" spans="1:20" x14ac:dyDescent="0.3">
      <c r="A7" s="12">
        <v>4</v>
      </c>
      <c r="B7" s="9" t="s">
        <v>20</v>
      </c>
      <c r="C7" s="7">
        <v>5</v>
      </c>
      <c r="D7" s="7">
        <v>30000</v>
      </c>
      <c r="E7" s="7">
        <f t="shared" si="0"/>
        <v>150000</v>
      </c>
      <c r="F7" s="14">
        <v>200000</v>
      </c>
      <c r="G7" s="16">
        <f t="shared" si="1"/>
        <v>-50000</v>
      </c>
      <c r="H7" s="7">
        <v>200000</v>
      </c>
      <c r="I7" s="7">
        <v>210000</v>
      </c>
      <c r="J7" s="17">
        <f t="shared" si="2"/>
        <v>0.05</v>
      </c>
      <c r="L7" s="30" t="s">
        <v>34</v>
      </c>
      <c r="M7" s="30"/>
      <c r="N7" s="31">
        <f>MIN(H4:H33)</f>
        <v>2000</v>
      </c>
      <c r="O7" s="31"/>
    </row>
    <row r="8" spans="1:20" x14ac:dyDescent="0.3">
      <c r="A8" s="12">
        <v>5</v>
      </c>
      <c r="B8" s="7" t="s">
        <v>16</v>
      </c>
      <c r="C8" s="7">
        <v>6</v>
      </c>
      <c r="D8" s="7">
        <v>35000</v>
      </c>
      <c r="E8" s="7">
        <f t="shared" si="0"/>
        <v>210000</v>
      </c>
      <c r="F8" s="14">
        <v>25000</v>
      </c>
      <c r="G8" s="16">
        <f t="shared" si="1"/>
        <v>185000</v>
      </c>
      <c r="H8" s="7">
        <v>10000</v>
      </c>
      <c r="I8" s="7">
        <v>12000</v>
      </c>
      <c r="J8" s="17">
        <f t="shared" si="2"/>
        <v>0.2</v>
      </c>
      <c r="L8" s="30" t="s">
        <v>36</v>
      </c>
      <c r="M8" s="30"/>
      <c r="N8" s="31">
        <f>MAX(H4:H33)</f>
        <v>500000</v>
      </c>
      <c r="O8" s="31"/>
    </row>
    <row r="9" spans="1:20" x14ac:dyDescent="0.3">
      <c r="A9" s="12">
        <v>6</v>
      </c>
      <c r="B9" s="7" t="s">
        <v>128</v>
      </c>
      <c r="C9" s="7">
        <v>50</v>
      </c>
      <c r="D9" s="7">
        <v>2000</v>
      </c>
      <c r="E9" s="7">
        <f t="shared" si="0"/>
        <v>100000</v>
      </c>
      <c r="F9" s="14">
        <v>15000</v>
      </c>
      <c r="G9" s="16">
        <f t="shared" si="1"/>
        <v>85000</v>
      </c>
      <c r="H9" s="7">
        <v>15000</v>
      </c>
      <c r="I9" s="7">
        <v>13000</v>
      </c>
      <c r="J9" s="17">
        <f t="shared" si="2"/>
        <v>-0.13333333333333333</v>
      </c>
      <c r="L9" s="30" t="s">
        <v>35</v>
      </c>
      <c r="M9" s="30"/>
      <c r="N9" s="31">
        <f>SUM(G4:G33)</f>
        <v>2912000</v>
      </c>
      <c r="O9" s="31"/>
    </row>
    <row r="10" spans="1:20" x14ac:dyDescent="0.3">
      <c r="A10" s="12">
        <v>7</v>
      </c>
      <c r="B10" s="7" t="s">
        <v>129</v>
      </c>
      <c r="C10" s="7">
        <v>40</v>
      </c>
      <c r="D10" s="7">
        <v>1500</v>
      </c>
      <c r="E10" s="7">
        <f t="shared" si="0"/>
        <v>60000</v>
      </c>
      <c r="F10" s="14">
        <v>8000</v>
      </c>
      <c r="G10" s="16">
        <f t="shared" si="1"/>
        <v>52000</v>
      </c>
      <c r="H10" s="7">
        <v>8000</v>
      </c>
      <c r="I10" s="7">
        <v>9000</v>
      </c>
      <c r="J10" s="17">
        <f t="shared" si="2"/>
        <v>0.125</v>
      </c>
    </row>
    <row r="11" spans="1:20" ht="22.8" x14ac:dyDescent="0.45">
      <c r="A11" s="12">
        <v>8</v>
      </c>
      <c r="B11" s="7" t="s">
        <v>130</v>
      </c>
      <c r="C11" s="7">
        <v>20</v>
      </c>
      <c r="D11" s="7">
        <v>5000</v>
      </c>
      <c r="E11" s="7">
        <f t="shared" si="0"/>
        <v>100000</v>
      </c>
      <c r="F11" s="14">
        <v>6000</v>
      </c>
      <c r="G11" s="16">
        <f t="shared" si="1"/>
        <v>94000</v>
      </c>
      <c r="H11" s="7">
        <v>10000</v>
      </c>
      <c r="I11" s="7">
        <v>10000</v>
      </c>
      <c r="J11" s="17">
        <f t="shared" si="2"/>
        <v>0</v>
      </c>
      <c r="L11" s="39" t="s">
        <v>37</v>
      </c>
      <c r="M11" s="39"/>
      <c r="N11" s="39"/>
      <c r="O11" s="39"/>
      <c r="Q11" s="39" t="s">
        <v>47</v>
      </c>
      <c r="R11" s="39"/>
      <c r="S11" s="39"/>
      <c r="T11" s="39"/>
    </row>
    <row r="12" spans="1:20" x14ac:dyDescent="0.3">
      <c r="A12" s="12">
        <v>9</v>
      </c>
      <c r="B12" s="7" t="s">
        <v>131</v>
      </c>
      <c r="C12" s="7">
        <v>30</v>
      </c>
      <c r="D12" s="7">
        <v>2500</v>
      </c>
      <c r="E12" s="7">
        <f t="shared" si="0"/>
        <v>75000</v>
      </c>
      <c r="F12" s="14">
        <v>10000</v>
      </c>
      <c r="G12" s="16">
        <f t="shared" si="1"/>
        <v>65000</v>
      </c>
      <c r="H12" s="7">
        <v>7000</v>
      </c>
      <c r="I12" s="7">
        <v>6500</v>
      </c>
      <c r="J12" s="17">
        <f t="shared" si="2"/>
        <v>-7.1428571428571425E-2</v>
      </c>
      <c r="L12" s="30" t="s">
        <v>38</v>
      </c>
      <c r="M12" s="30"/>
      <c r="N12" s="31" t="str">
        <f>IF(H4&gt;25000,"minimum","maximum")</f>
        <v>minimum</v>
      </c>
      <c r="O12" s="31"/>
      <c r="Q12" s="30" t="s">
        <v>48</v>
      </c>
      <c r="R12" s="30"/>
      <c r="S12" s="31">
        <f>VLOOKUP(1,A4:J23,5,FALSE)</f>
        <v>500000</v>
      </c>
      <c r="T12" s="31"/>
    </row>
    <row r="13" spans="1:20" x14ac:dyDescent="0.3">
      <c r="A13" s="12">
        <v>10</v>
      </c>
      <c r="B13" s="9" t="s">
        <v>9</v>
      </c>
      <c r="C13" s="7">
        <v>45</v>
      </c>
      <c r="D13" s="7">
        <v>3000</v>
      </c>
      <c r="E13" s="7">
        <f t="shared" si="0"/>
        <v>135000</v>
      </c>
      <c r="F13" s="14">
        <v>40000</v>
      </c>
      <c r="G13" s="16">
        <f t="shared" si="1"/>
        <v>95000</v>
      </c>
      <c r="H13" s="7">
        <v>20000</v>
      </c>
      <c r="I13" s="7">
        <v>22000</v>
      </c>
      <c r="J13" s="17">
        <f t="shared" si="2"/>
        <v>0.1</v>
      </c>
      <c r="L13" s="30" t="s">
        <v>39</v>
      </c>
      <c r="M13" s="30"/>
      <c r="N13" s="31" t="b">
        <f>AND(H4&gt;20000,H7&lt;20000)</f>
        <v>0</v>
      </c>
      <c r="O13" s="31"/>
      <c r="Q13" s="30" t="s">
        <v>49</v>
      </c>
      <c r="R13" s="30"/>
      <c r="S13" s="38">
        <f>HLOOKUP("Revenue",A3:J23,3,FALSE)</f>
        <v>375000</v>
      </c>
      <c r="T13" s="38"/>
    </row>
    <row r="14" spans="1:20" x14ac:dyDescent="0.3">
      <c r="A14" s="12">
        <v>11</v>
      </c>
      <c r="B14" s="7" t="s">
        <v>7</v>
      </c>
      <c r="C14" s="7">
        <v>12</v>
      </c>
      <c r="D14" s="7">
        <v>12000</v>
      </c>
      <c r="E14" s="7">
        <f t="shared" si="0"/>
        <v>144000</v>
      </c>
      <c r="F14" s="14">
        <v>2000</v>
      </c>
      <c r="G14" s="16">
        <f t="shared" si="1"/>
        <v>142000</v>
      </c>
      <c r="H14" s="7">
        <v>18000</v>
      </c>
      <c r="I14" s="7">
        <v>20000</v>
      </c>
      <c r="J14" s="17">
        <f t="shared" si="2"/>
        <v>0.1111111111111111</v>
      </c>
      <c r="L14" s="30" t="s">
        <v>40</v>
      </c>
      <c r="M14" s="30"/>
      <c r="N14" s="31" t="b">
        <f>OR(H4&gt;30000,H7&lt;30000)</f>
        <v>1</v>
      </c>
      <c r="O14" s="31"/>
      <c r="Q14" s="30" t="s">
        <v>50</v>
      </c>
      <c r="R14" s="30"/>
      <c r="S14" s="38">
        <f>_xlfn.XLOOKUP(3,A4:A23,E4:E23)</f>
        <v>320000</v>
      </c>
      <c r="T14" s="38"/>
    </row>
    <row r="15" spans="1:20" x14ac:dyDescent="0.3">
      <c r="A15" s="12">
        <v>12</v>
      </c>
      <c r="B15" s="7" t="s">
        <v>8</v>
      </c>
      <c r="C15" s="7">
        <v>15</v>
      </c>
      <c r="D15" s="7">
        <v>18000</v>
      </c>
      <c r="E15" s="7">
        <f t="shared" si="0"/>
        <v>270000</v>
      </c>
      <c r="F15" s="14">
        <v>15000</v>
      </c>
      <c r="G15" s="16">
        <f t="shared" si="1"/>
        <v>255000</v>
      </c>
      <c r="H15" s="7">
        <v>5000</v>
      </c>
      <c r="I15" s="7">
        <v>4500</v>
      </c>
      <c r="J15" s="17">
        <f t="shared" si="2"/>
        <v>-0.1</v>
      </c>
    </row>
    <row r="16" spans="1:20" ht="22.8" x14ac:dyDescent="0.45">
      <c r="A16" s="12">
        <v>13</v>
      </c>
      <c r="B16" s="7" t="s">
        <v>19</v>
      </c>
      <c r="C16" s="7">
        <v>7</v>
      </c>
      <c r="D16" s="7">
        <v>45000</v>
      </c>
      <c r="E16" s="7">
        <f t="shared" si="0"/>
        <v>315000</v>
      </c>
      <c r="F16" s="15">
        <v>7000</v>
      </c>
      <c r="G16" s="16">
        <f t="shared" si="1"/>
        <v>308000</v>
      </c>
      <c r="H16" s="7">
        <v>4000</v>
      </c>
      <c r="I16" s="7">
        <v>3800</v>
      </c>
      <c r="J16" s="17">
        <f t="shared" si="2"/>
        <v>-0.05</v>
      </c>
      <c r="L16" s="39" t="s">
        <v>41</v>
      </c>
      <c r="M16" s="39"/>
      <c r="N16" s="39"/>
      <c r="O16" s="39"/>
      <c r="Q16" s="39" t="s">
        <v>57</v>
      </c>
      <c r="R16" s="39"/>
      <c r="S16" s="39"/>
      <c r="T16" s="39"/>
    </row>
    <row r="17" spans="1:20" x14ac:dyDescent="0.3">
      <c r="A17" s="12">
        <v>14</v>
      </c>
      <c r="B17" s="7" t="s">
        <v>14</v>
      </c>
      <c r="C17" s="7">
        <v>18</v>
      </c>
      <c r="D17" s="7">
        <v>6000</v>
      </c>
      <c r="E17" s="7">
        <f t="shared" si="0"/>
        <v>108000</v>
      </c>
      <c r="F17" s="14">
        <v>9000</v>
      </c>
      <c r="G17" s="16">
        <f t="shared" si="1"/>
        <v>99000</v>
      </c>
      <c r="H17" s="7">
        <v>2000</v>
      </c>
      <c r="I17" s="7">
        <v>2500</v>
      </c>
      <c r="J17" s="17">
        <f t="shared" si="2"/>
        <v>0.25</v>
      </c>
      <c r="L17" s="30" t="s">
        <v>134</v>
      </c>
      <c r="M17" s="30"/>
      <c r="N17" s="31" t="str">
        <f>LEFT(G4,3)</f>
        <v>450</v>
      </c>
      <c r="O17" s="31"/>
      <c r="Q17" s="30" t="s">
        <v>52</v>
      </c>
      <c r="R17" s="30"/>
      <c r="S17" s="44">
        <f>AVERAGE(G4:G23)</f>
        <v>145600</v>
      </c>
      <c r="T17" s="44"/>
    </row>
    <row r="18" spans="1:20" x14ac:dyDescent="0.3">
      <c r="A18" s="12">
        <v>15</v>
      </c>
      <c r="B18" s="7" t="s">
        <v>11</v>
      </c>
      <c r="C18" s="7">
        <v>35</v>
      </c>
      <c r="D18" s="7">
        <v>1200</v>
      </c>
      <c r="E18" s="7">
        <f t="shared" si="0"/>
        <v>42000</v>
      </c>
      <c r="F18" s="14">
        <v>12000</v>
      </c>
      <c r="G18" s="16">
        <f t="shared" si="1"/>
        <v>30000</v>
      </c>
      <c r="H18" s="7">
        <v>3000</v>
      </c>
      <c r="I18" s="7">
        <v>3200</v>
      </c>
      <c r="J18" s="17">
        <f t="shared" si="2"/>
        <v>6.6666666666666666E-2</v>
      </c>
      <c r="L18" s="30" t="s">
        <v>135</v>
      </c>
      <c r="M18" s="30"/>
      <c r="N18" s="31" t="str">
        <f>RIGHT(G5,2)</f>
        <v>00</v>
      </c>
      <c r="O18" s="31"/>
      <c r="Q18" s="30" t="s">
        <v>53</v>
      </c>
      <c r="R18" s="30"/>
      <c r="S18" s="31">
        <f>MEDIAN(H4:H23)</f>
        <v>10000</v>
      </c>
      <c r="T18" s="31"/>
    </row>
    <row r="19" spans="1:20" x14ac:dyDescent="0.3">
      <c r="A19" s="12">
        <v>16</v>
      </c>
      <c r="B19" s="7" t="s">
        <v>12</v>
      </c>
      <c r="C19" s="7">
        <v>60</v>
      </c>
      <c r="D19" s="7">
        <v>800</v>
      </c>
      <c r="E19" s="7">
        <f t="shared" si="0"/>
        <v>48000</v>
      </c>
      <c r="F19" s="14">
        <v>5000</v>
      </c>
      <c r="G19" s="16">
        <f t="shared" si="1"/>
        <v>43000</v>
      </c>
      <c r="H19" s="7">
        <v>9000</v>
      </c>
      <c r="I19" s="7">
        <v>9500</v>
      </c>
      <c r="J19" s="17">
        <f t="shared" si="2"/>
        <v>5.5555555555555552E-2</v>
      </c>
      <c r="L19" s="30" t="s">
        <v>136</v>
      </c>
      <c r="M19" s="30"/>
      <c r="N19" s="31" t="str">
        <f>MID(F11,2,3)</f>
        <v>000</v>
      </c>
      <c r="O19" s="31"/>
      <c r="Q19" s="30" t="s">
        <v>55</v>
      </c>
      <c r="R19" s="30"/>
      <c r="S19" s="31">
        <f>_xlfn.MODE.SNGL(H4:H23)</f>
        <v>10000</v>
      </c>
      <c r="T19" s="31"/>
    </row>
    <row r="20" spans="1:20" x14ac:dyDescent="0.3">
      <c r="A20" s="12">
        <v>17</v>
      </c>
      <c r="B20" s="7" t="s">
        <v>24</v>
      </c>
      <c r="C20" s="7">
        <v>22</v>
      </c>
      <c r="D20" s="7">
        <v>3500</v>
      </c>
      <c r="E20" s="7">
        <f t="shared" si="0"/>
        <v>77000</v>
      </c>
      <c r="F20" s="14">
        <v>4000</v>
      </c>
      <c r="G20" s="16">
        <f t="shared" si="1"/>
        <v>73000</v>
      </c>
      <c r="H20" s="7">
        <v>12000</v>
      </c>
      <c r="I20" s="7">
        <v>11500</v>
      </c>
      <c r="J20" s="17">
        <f t="shared" si="2"/>
        <v>-4.1666666666666664E-2</v>
      </c>
      <c r="L20" s="30" t="s">
        <v>42</v>
      </c>
      <c r="M20" s="30"/>
      <c r="N20" s="31" t="str">
        <f>_xlfn.CONCAT(F5,"_",G5)</f>
        <v>12000_363000</v>
      </c>
      <c r="O20" s="31"/>
      <c r="Q20" s="42" t="s">
        <v>51</v>
      </c>
      <c r="R20" s="42"/>
      <c r="S20" s="43">
        <f>_xlfn.STDEV.S(H4:H23)</f>
        <v>114866.7305596955</v>
      </c>
      <c r="T20" s="43"/>
    </row>
    <row r="21" spans="1:20" x14ac:dyDescent="0.3">
      <c r="A21" s="12">
        <v>18</v>
      </c>
      <c r="B21" s="7" t="s">
        <v>22</v>
      </c>
      <c r="C21" s="7">
        <v>14</v>
      </c>
      <c r="D21" s="7">
        <v>4000</v>
      </c>
      <c r="E21" s="7">
        <f t="shared" si="0"/>
        <v>56000</v>
      </c>
      <c r="F21" s="14">
        <v>18000</v>
      </c>
      <c r="G21" s="16">
        <f t="shared" si="1"/>
        <v>38000</v>
      </c>
      <c r="H21" s="7">
        <v>10000</v>
      </c>
      <c r="I21" s="7">
        <v>12000</v>
      </c>
      <c r="J21" s="17">
        <f t="shared" si="2"/>
        <v>0.2</v>
      </c>
      <c r="Q21" s="40" t="s">
        <v>54</v>
      </c>
      <c r="R21" s="40"/>
      <c r="S21" s="41">
        <f>CORREL(H4:H23,I4:I23)</f>
        <v>0.99977446322351471</v>
      </c>
      <c r="T21" s="41"/>
    </row>
    <row r="22" spans="1:20" x14ac:dyDescent="0.3">
      <c r="A22" s="12">
        <v>19</v>
      </c>
      <c r="B22" s="7" t="s">
        <v>132</v>
      </c>
      <c r="C22" s="7">
        <v>9</v>
      </c>
      <c r="D22" s="7">
        <v>15000</v>
      </c>
      <c r="E22" s="7">
        <f t="shared" si="0"/>
        <v>135000</v>
      </c>
      <c r="F22" s="14">
        <v>22000</v>
      </c>
      <c r="G22" s="16">
        <f t="shared" si="1"/>
        <v>113000</v>
      </c>
      <c r="H22" s="7">
        <v>40000</v>
      </c>
      <c r="I22" s="7">
        <v>40000</v>
      </c>
      <c r="J22" s="17">
        <f t="shared" si="2"/>
        <v>0</v>
      </c>
    </row>
    <row r="23" spans="1:20" x14ac:dyDescent="0.3">
      <c r="A23" s="12">
        <v>20</v>
      </c>
      <c r="B23" s="7" t="s">
        <v>133</v>
      </c>
      <c r="C23" s="7">
        <v>3</v>
      </c>
      <c r="D23" s="7">
        <v>55000</v>
      </c>
      <c r="E23" s="7">
        <f t="shared" si="0"/>
        <v>165000</v>
      </c>
      <c r="F23" s="14">
        <v>10000</v>
      </c>
      <c r="G23" s="16">
        <f t="shared" si="1"/>
        <v>155000</v>
      </c>
      <c r="H23" s="7">
        <v>6000</v>
      </c>
      <c r="I23" s="7">
        <v>7000</v>
      </c>
      <c r="J23" s="17">
        <f t="shared" si="2"/>
        <v>0.16666666666666666</v>
      </c>
    </row>
    <row r="25" spans="1:20" x14ac:dyDescent="0.3">
      <c r="C25" s="24" t="s">
        <v>144</v>
      </c>
      <c r="D25" s="21" t="s">
        <v>169</v>
      </c>
      <c r="J25" s="6"/>
    </row>
    <row r="26" spans="1:20" x14ac:dyDescent="0.3">
      <c r="C26" s="22" t="s">
        <v>16</v>
      </c>
      <c r="D26" s="23">
        <v>25000</v>
      </c>
    </row>
    <row r="27" spans="1:20" x14ac:dyDescent="0.3">
      <c r="C27" s="22" t="s">
        <v>131</v>
      </c>
      <c r="D27" s="23">
        <v>10000</v>
      </c>
    </row>
    <row r="28" spans="1:20" x14ac:dyDescent="0.3">
      <c r="C28" s="22" t="s">
        <v>19</v>
      </c>
      <c r="D28" s="23">
        <v>7000</v>
      </c>
    </row>
    <row r="29" spans="1:20" x14ac:dyDescent="0.3">
      <c r="C29" s="22" t="s">
        <v>24</v>
      </c>
      <c r="D29" s="23">
        <v>4000</v>
      </c>
    </row>
    <row r="30" spans="1:20" x14ac:dyDescent="0.3">
      <c r="C30" s="22" t="s">
        <v>9</v>
      </c>
      <c r="D30" s="23">
        <v>40000</v>
      </c>
    </row>
    <row r="31" spans="1:20" x14ac:dyDescent="0.3">
      <c r="C31" s="22" t="s">
        <v>11</v>
      </c>
      <c r="D31" s="23">
        <v>12000</v>
      </c>
    </row>
    <row r="32" spans="1:20" x14ac:dyDescent="0.3">
      <c r="C32" s="22" t="s">
        <v>5</v>
      </c>
      <c r="D32" s="23">
        <v>50000</v>
      </c>
    </row>
    <row r="33" spans="3:4" x14ac:dyDescent="0.3">
      <c r="C33" s="22" t="s">
        <v>22</v>
      </c>
      <c r="D33" s="23">
        <v>18000</v>
      </c>
    </row>
    <row r="34" spans="3:4" x14ac:dyDescent="0.3">
      <c r="C34" s="22" t="s">
        <v>6</v>
      </c>
      <c r="D34" s="23">
        <v>12000</v>
      </c>
    </row>
    <row r="35" spans="3:4" x14ac:dyDescent="0.3">
      <c r="C35" s="22" t="s">
        <v>12</v>
      </c>
      <c r="D35" s="23">
        <v>5000</v>
      </c>
    </row>
    <row r="36" spans="3:4" x14ac:dyDescent="0.3">
      <c r="C36" s="22" t="s">
        <v>132</v>
      </c>
      <c r="D36" s="23">
        <v>22000</v>
      </c>
    </row>
    <row r="37" spans="3:4" x14ac:dyDescent="0.3">
      <c r="C37" s="22" t="s">
        <v>7</v>
      </c>
      <c r="D37" s="23">
        <v>2000</v>
      </c>
    </row>
    <row r="38" spans="3:4" x14ac:dyDescent="0.3">
      <c r="C38" s="22" t="s">
        <v>20</v>
      </c>
      <c r="D38" s="23">
        <v>200000</v>
      </c>
    </row>
    <row r="39" spans="3:4" x14ac:dyDescent="0.3">
      <c r="C39" s="22" t="s">
        <v>129</v>
      </c>
      <c r="D39" s="23">
        <v>8000</v>
      </c>
    </row>
    <row r="40" spans="3:4" x14ac:dyDescent="0.3">
      <c r="C40" s="22" t="s">
        <v>128</v>
      </c>
      <c r="D40" s="23">
        <v>15000</v>
      </c>
    </row>
    <row r="41" spans="3:4" x14ac:dyDescent="0.3">
      <c r="C41" s="22" t="s">
        <v>133</v>
      </c>
      <c r="D41" s="23">
        <v>10000</v>
      </c>
    </row>
    <row r="42" spans="3:4" x14ac:dyDescent="0.3">
      <c r="C42" s="22" t="s">
        <v>14</v>
      </c>
      <c r="D42" s="23">
        <v>9000</v>
      </c>
    </row>
    <row r="43" spans="3:4" x14ac:dyDescent="0.3">
      <c r="C43" s="22" t="s">
        <v>8</v>
      </c>
      <c r="D43" s="23">
        <v>15000</v>
      </c>
    </row>
    <row r="44" spans="3:4" x14ac:dyDescent="0.3">
      <c r="C44" s="22" t="s">
        <v>15</v>
      </c>
      <c r="D44" s="23">
        <v>3000</v>
      </c>
    </row>
    <row r="45" spans="3:4" x14ac:dyDescent="0.3">
      <c r="C45" s="22" t="s">
        <v>130</v>
      </c>
      <c r="D45" s="23">
        <v>6000</v>
      </c>
    </row>
    <row r="46" spans="3:4" x14ac:dyDescent="0.3">
      <c r="C46" s="19" t="s">
        <v>145</v>
      </c>
      <c r="D46" s="20">
        <v>473000</v>
      </c>
    </row>
  </sheetData>
  <mergeCells count="56">
    <mergeCell ref="L20:M20"/>
    <mergeCell ref="N20:O20"/>
    <mergeCell ref="Q20:R20"/>
    <mergeCell ref="S20:T20"/>
    <mergeCell ref="Q21:R21"/>
    <mergeCell ref="S21:T21"/>
    <mergeCell ref="L18:M18"/>
    <mergeCell ref="N18:O18"/>
    <mergeCell ref="Q18:R18"/>
    <mergeCell ref="S18:T18"/>
    <mergeCell ref="L19:M19"/>
    <mergeCell ref="N19:O19"/>
    <mergeCell ref="Q19:R19"/>
    <mergeCell ref="S19:T19"/>
    <mergeCell ref="L16:O16"/>
    <mergeCell ref="Q16:T16"/>
    <mergeCell ref="L17:M17"/>
    <mergeCell ref="N17:O17"/>
    <mergeCell ref="Q17:R17"/>
    <mergeCell ref="S17:T17"/>
    <mergeCell ref="L13:M13"/>
    <mergeCell ref="N13:O13"/>
    <mergeCell ref="Q13:R13"/>
    <mergeCell ref="S13:T13"/>
    <mergeCell ref="L14:M14"/>
    <mergeCell ref="N14:O14"/>
    <mergeCell ref="Q14:R14"/>
    <mergeCell ref="S14:T14"/>
    <mergeCell ref="L11:O11"/>
    <mergeCell ref="Q11:T11"/>
    <mergeCell ref="L12:M12"/>
    <mergeCell ref="N12:O12"/>
    <mergeCell ref="Q12:R12"/>
    <mergeCell ref="S12:T12"/>
    <mergeCell ref="L7:M7"/>
    <mergeCell ref="N7:O7"/>
    <mergeCell ref="L8:M8"/>
    <mergeCell ref="N8:O8"/>
    <mergeCell ref="L9:M9"/>
    <mergeCell ref="N9:O9"/>
    <mergeCell ref="L5:M5"/>
    <mergeCell ref="N5:O5"/>
    <mergeCell ref="Q5:R5"/>
    <mergeCell ref="S5:T5"/>
    <mergeCell ref="L6:M6"/>
    <mergeCell ref="N6:O6"/>
    <mergeCell ref="Q6:R6"/>
    <mergeCell ref="S6:T6"/>
    <mergeCell ref="A2:J2"/>
    <mergeCell ref="L2:T2"/>
    <mergeCell ref="L3:O3"/>
    <mergeCell ref="Q3:T3"/>
    <mergeCell ref="L4:M4"/>
    <mergeCell ref="N4:O4"/>
    <mergeCell ref="Q4:R4"/>
    <mergeCell ref="S4:T4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D85D-AD11-4A43-9D74-51203CFCBF85}">
  <dimension ref="A2:P30"/>
  <sheetViews>
    <sheetView tabSelected="1" workbookViewId="0">
      <selection activeCell="K28" sqref="K28"/>
    </sheetView>
  </sheetViews>
  <sheetFormatPr defaultRowHeight="14.4" x14ac:dyDescent="0.3"/>
  <cols>
    <col min="2" max="2" width="16.6640625" bestFit="1" customWidth="1"/>
    <col min="3" max="3" width="16.21875" bestFit="1" customWidth="1"/>
    <col min="4" max="4" width="12.44140625" bestFit="1" customWidth="1"/>
    <col min="5" max="5" width="16.21875" bestFit="1" customWidth="1"/>
    <col min="6" max="6" width="14.77734375" bestFit="1" customWidth="1"/>
    <col min="11" max="11" width="13.21875" customWidth="1"/>
    <col min="14" max="14" width="15.6640625" customWidth="1"/>
  </cols>
  <sheetData>
    <row r="2" spans="1:16" ht="25.2" x14ac:dyDescent="0.5">
      <c r="A2" s="28" t="s">
        <v>87</v>
      </c>
      <c r="B2" s="28"/>
      <c r="C2" s="28"/>
      <c r="D2" s="28"/>
      <c r="E2" s="28"/>
      <c r="F2" s="28"/>
      <c r="H2" s="28" t="s">
        <v>56</v>
      </c>
      <c r="I2" s="28"/>
      <c r="J2" s="28"/>
      <c r="K2" s="28"/>
      <c r="L2" s="28"/>
      <c r="M2" s="28"/>
      <c r="N2" s="28"/>
      <c r="O2" s="28"/>
      <c r="P2" s="28"/>
    </row>
    <row r="3" spans="1:16" ht="22.8" x14ac:dyDescent="0.45">
      <c r="A3" s="5" t="s">
        <v>58</v>
      </c>
      <c r="B3" s="18" t="s">
        <v>59</v>
      </c>
      <c r="C3" s="18" t="s">
        <v>60</v>
      </c>
      <c r="D3" s="18" t="s">
        <v>142</v>
      </c>
      <c r="E3" s="18" t="s">
        <v>86</v>
      </c>
      <c r="F3" s="18" t="s">
        <v>61</v>
      </c>
      <c r="H3" s="29" t="s">
        <v>30</v>
      </c>
      <c r="I3" s="29"/>
      <c r="J3" s="29"/>
      <c r="K3" s="29"/>
      <c r="M3" s="29" t="s">
        <v>43</v>
      </c>
      <c r="N3" s="29"/>
      <c r="O3" s="29"/>
      <c r="P3" s="29"/>
    </row>
    <row r="4" spans="1:16" x14ac:dyDescent="0.3">
      <c r="A4" s="2">
        <v>1</v>
      </c>
      <c r="B4" s="7" t="s">
        <v>62</v>
      </c>
      <c r="C4" s="7">
        <v>25</v>
      </c>
      <c r="D4" s="7">
        <v>12000</v>
      </c>
      <c r="E4" s="7">
        <v>0</v>
      </c>
      <c r="F4" s="7" t="s">
        <v>63</v>
      </c>
      <c r="H4" s="30" t="s">
        <v>31</v>
      </c>
      <c r="I4" s="30"/>
      <c r="J4" s="31">
        <f>SUM(E4:E30)</f>
        <v>900000</v>
      </c>
      <c r="K4" s="31"/>
      <c r="M4" s="30" t="s">
        <v>44</v>
      </c>
      <c r="N4" s="30"/>
      <c r="O4" s="32">
        <f ca="1">TODAY()</f>
        <v>46073</v>
      </c>
      <c r="P4" s="31"/>
    </row>
    <row r="5" spans="1:16" x14ac:dyDescent="0.3">
      <c r="A5" s="2">
        <v>2</v>
      </c>
      <c r="B5" s="7" t="s">
        <v>64</v>
      </c>
      <c r="C5" s="7">
        <v>32</v>
      </c>
      <c r="D5" s="7">
        <v>15000</v>
      </c>
      <c r="E5" s="7">
        <v>50000</v>
      </c>
      <c r="F5" s="7" t="s">
        <v>65</v>
      </c>
      <c r="H5" s="30" t="s">
        <v>32</v>
      </c>
      <c r="I5" s="30"/>
      <c r="J5" s="31">
        <f>COUNT(E4:E30)</f>
        <v>20</v>
      </c>
      <c r="K5" s="31"/>
      <c r="M5" s="30" t="s">
        <v>45</v>
      </c>
      <c r="N5" s="30"/>
      <c r="O5" s="33">
        <f ca="1">NOW()</f>
        <v>46073.793405902776</v>
      </c>
      <c r="P5" s="31"/>
    </row>
    <row r="6" spans="1:16" x14ac:dyDescent="0.3">
      <c r="A6" s="2">
        <v>3</v>
      </c>
      <c r="B6" s="7" t="s">
        <v>66</v>
      </c>
      <c r="C6" s="7">
        <v>45</v>
      </c>
      <c r="D6" s="7">
        <v>22000</v>
      </c>
      <c r="E6" s="7">
        <v>0</v>
      </c>
      <c r="F6" s="7" t="s">
        <v>67</v>
      </c>
      <c r="H6" s="30" t="s">
        <v>33</v>
      </c>
      <c r="I6" s="30"/>
      <c r="J6" s="44">
        <f>AVERAGE(E4:E30)</f>
        <v>45000</v>
      </c>
      <c r="K6" s="44"/>
      <c r="M6" s="30" t="s">
        <v>46</v>
      </c>
      <c r="N6" s="30"/>
      <c r="O6" s="31">
        <f>DATEDIF(A4,A23,"D")</f>
        <v>19</v>
      </c>
      <c r="P6" s="31"/>
    </row>
    <row r="7" spans="1:16" x14ac:dyDescent="0.3">
      <c r="A7" s="2">
        <v>4</v>
      </c>
      <c r="B7" s="7" t="s">
        <v>68</v>
      </c>
      <c r="C7" s="7">
        <v>29</v>
      </c>
      <c r="D7" s="7">
        <v>18000</v>
      </c>
      <c r="E7" s="7">
        <v>30000</v>
      </c>
      <c r="F7" s="7" t="s">
        <v>65</v>
      </c>
      <c r="H7" s="30" t="s">
        <v>34</v>
      </c>
      <c r="I7" s="30"/>
      <c r="J7" s="31">
        <f>MIN(E4:E30)</f>
        <v>0</v>
      </c>
      <c r="K7" s="31"/>
    </row>
    <row r="8" spans="1:16" x14ac:dyDescent="0.3">
      <c r="A8" s="2">
        <v>5</v>
      </c>
      <c r="B8" s="7" t="s">
        <v>69</v>
      </c>
      <c r="C8" s="7">
        <v>50</v>
      </c>
      <c r="D8" s="7">
        <v>25000</v>
      </c>
      <c r="E8" s="7">
        <v>100000</v>
      </c>
      <c r="F8" s="7" t="s">
        <v>63</v>
      </c>
      <c r="H8" s="30" t="s">
        <v>36</v>
      </c>
      <c r="I8" s="30"/>
      <c r="J8" s="31">
        <f>MAX(E4:E30)</f>
        <v>150000</v>
      </c>
      <c r="K8" s="31"/>
    </row>
    <row r="9" spans="1:16" x14ac:dyDescent="0.3">
      <c r="A9" s="2">
        <v>6</v>
      </c>
      <c r="B9" s="7" t="s">
        <v>70</v>
      </c>
      <c r="C9" s="7">
        <v>38</v>
      </c>
      <c r="D9" s="7">
        <v>20000</v>
      </c>
      <c r="E9" s="7">
        <v>0</v>
      </c>
      <c r="F9" s="7" t="s">
        <v>71</v>
      </c>
    </row>
    <row r="10" spans="1:16" x14ac:dyDescent="0.3">
      <c r="A10" s="2">
        <v>7</v>
      </c>
      <c r="B10" s="7" t="s">
        <v>72</v>
      </c>
      <c r="C10" s="7">
        <v>41</v>
      </c>
      <c r="D10" s="7">
        <v>27000</v>
      </c>
      <c r="E10" s="7">
        <v>75000</v>
      </c>
      <c r="F10" s="7" t="s">
        <v>67</v>
      </c>
    </row>
    <row r="11" spans="1:16" ht="22.8" x14ac:dyDescent="0.45">
      <c r="A11" s="2">
        <v>8</v>
      </c>
      <c r="B11" s="7" t="s">
        <v>73</v>
      </c>
      <c r="C11" s="7">
        <v>26</v>
      </c>
      <c r="D11" s="7">
        <v>14000</v>
      </c>
      <c r="E11" s="7">
        <v>0</v>
      </c>
      <c r="F11" s="7" t="s">
        <v>65</v>
      </c>
      <c r="H11" s="39" t="s">
        <v>37</v>
      </c>
      <c r="I11" s="39"/>
      <c r="J11" s="39"/>
      <c r="K11" s="39"/>
      <c r="M11" s="39" t="s">
        <v>47</v>
      </c>
      <c r="N11" s="39"/>
      <c r="O11" s="39"/>
      <c r="P11" s="39"/>
    </row>
    <row r="12" spans="1:16" x14ac:dyDescent="0.3">
      <c r="A12" s="2">
        <v>9</v>
      </c>
      <c r="B12" s="7" t="s">
        <v>74</v>
      </c>
      <c r="C12" s="7">
        <v>60</v>
      </c>
      <c r="D12" s="7">
        <v>30000</v>
      </c>
      <c r="E12" s="7">
        <v>150000</v>
      </c>
      <c r="F12" s="7" t="s">
        <v>63</v>
      </c>
      <c r="H12" s="30" t="s">
        <v>38</v>
      </c>
      <c r="I12" s="30"/>
      <c r="J12" s="31" t="str">
        <f>IF(E4&gt;25000,"minimum","maximum")</f>
        <v>maximum</v>
      </c>
      <c r="K12" s="31"/>
      <c r="M12" s="30" t="s">
        <v>48</v>
      </c>
      <c r="N12" s="30"/>
      <c r="O12" s="31">
        <f>VLOOKUP(1,A4:F23,4,FALSE)</f>
        <v>12000</v>
      </c>
      <c r="P12" s="31"/>
    </row>
    <row r="13" spans="1:16" x14ac:dyDescent="0.3">
      <c r="A13" s="2">
        <v>10</v>
      </c>
      <c r="B13" s="7" t="s">
        <v>75</v>
      </c>
      <c r="C13" s="7">
        <v>35</v>
      </c>
      <c r="D13" s="7">
        <v>21000</v>
      </c>
      <c r="E13" s="7">
        <v>0</v>
      </c>
      <c r="F13" s="7" t="s">
        <v>71</v>
      </c>
      <c r="H13" s="30" t="s">
        <v>39</v>
      </c>
      <c r="I13" s="30"/>
      <c r="J13" s="31" t="b">
        <f>AND(E4&gt;20000,E7&lt;20000)</f>
        <v>0</v>
      </c>
      <c r="K13" s="31"/>
      <c r="M13" s="30" t="s">
        <v>49</v>
      </c>
      <c r="N13" s="30"/>
      <c r="O13" s="38">
        <f>HLOOKUP("Premium",A3:F23,3,FALSE)</f>
        <v>15000</v>
      </c>
      <c r="P13" s="38"/>
    </row>
    <row r="14" spans="1:16" x14ac:dyDescent="0.3">
      <c r="A14" s="2">
        <v>11</v>
      </c>
      <c r="B14" s="7" t="s">
        <v>76</v>
      </c>
      <c r="C14" s="7">
        <v>48</v>
      </c>
      <c r="D14" s="7">
        <v>26000</v>
      </c>
      <c r="E14" s="7">
        <v>80000</v>
      </c>
      <c r="F14" s="7" t="s">
        <v>67</v>
      </c>
      <c r="H14" s="30" t="s">
        <v>40</v>
      </c>
      <c r="I14" s="30"/>
      <c r="J14" s="31" t="b">
        <f>OR(E4&gt;120000,E7&lt;120000)</f>
        <v>1</v>
      </c>
      <c r="K14" s="31"/>
      <c r="M14" s="30" t="s">
        <v>50</v>
      </c>
      <c r="N14" s="30"/>
      <c r="O14" s="38">
        <f>_xlfn.XLOOKUP(3,A4:A23,D4:D23)</f>
        <v>22000</v>
      </c>
      <c r="P14" s="38"/>
    </row>
    <row r="15" spans="1:16" x14ac:dyDescent="0.3">
      <c r="A15" s="2">
        <v>12</v>
      </c>
      <c r="B15" s="7" t="s">
        <v>77</v>
      </c>
      <c r="C15" s="7">
        <v>30</v>
      </c>
      <c r="D15" s="7">
        <v>16000</v>
      </c>
      <c r="E15" s="7">
        <v>20000</v>
      </c>
      <c r="F15" s="7" t="s">
        <v>65</v>
      </c>
    </row>
    <row r="16" spans="1:16" x14ac:dyDescent="0.3">
      <c r="A16" s="2">
        <v>13</v>
      </c>
      <c r="B16" s="7" t="s">
        <v>78</v>
      </c>
      <c r="C16" s="7">
        <v>55</v>
      </c>
      <c r="D16" s="7">
        <v>28000</v>
      </c>
      <c r="E16" s="7">
        <v>120000</v>
      </c>
      <c r="F16" s="7" t="s">
        <v>63</v>
      </c>
    </row>
    <row r="17" spans="1:16" ht="22.8" x14ac:dyDescent="0.45">
      <c r="A17" s="2">
        <v>14</v>
      </c>
      <c r="B17" s="7" t="s">
        <v>79</v>
      </c>
      <c r="C17" s="7">
        <v>27</v>
      </c>
      <c r="D17" s="7">
        <v>13000</v>
      </c>
      <c r="E17" s="7">
        <v>0</v>
      </c>
      <c r="F17" s="7" t="s">
        <v>65</v>
      </c>
      <c r="H17" s="39" t="s">
        <v>41</v>
      </c>
      <c r="I17" s="39"/>
      <c r="J17" s="39"/>
      <c r="K17" s="39"/>
      <c r="M17" s="39" t="s">
        <v>57</v>
      </c>
      <c r="N17" s="39"/>
      <c r="O17" s="39"/>
      <c r="P17" s="39"/>
    </row>
    <row r="18" spans="1:16" x14ac:dyDescent="0.3">
      <c r="A18" s="2">
        <v>15</v>
      </c>
      <c r="B18" s="7" t="s">
        <v>80</v>
      </c>
      <c r="C18" s="7">
        <v>42</v>
      </c>
      <c r="D18" s="7">
        <v>24000</v>
      </c>
      <c r="E18" s="7">
        <v>60000</v>
      </c>
      <c r="F18" s="7" t="s">
        <v>67</v>
      </c>
      <c r="H18" s="30" t="s">
        <v>134</v>
      </c>
      <c r="I18" s="30"/>
      <c r="J18" s="31" t="str">
        <f>LEFT(D5,3)</f>
        <v>150</v>
      </c>
      <c r="K18" s="31"/>
      <c r="M18" s="30" t="s">
        <v>52</v>
      </c>
      <c r="N18" s="30"/>
      <c r="O18" s="44">
        <f>AVERAGE(D4:D23)</f>
        <v>20975</v>
      </c>
      <c r="P18" s="44"/>
    </row>
    <row r="19" spans="1:16" x14ac:dyDescent="0.3">
      <c r="A19" s="2">
        <v>16</v>
      </c>
      <c r="B19" s="7" t="s">
        <v>81</v>
      </c>
      <c r="C19" s="7">
        <v>33</v>
      </c>
      <c r="D19" s="7">
        <v>19000</v>
      </c>
      <c r="E19" s="7">
        <v>0</v>
      </c>
      <c r="F19" s="7" t="s">
        <v>71</v>
      </c>
      <c r="H19" s="30" t="s">
        <v>135</v>
      </c>
      <c r="I19" s="30"/>
      <c r="J19" s="31" t="str">
        <f>RIGHT(D6,2)</f>
        <v>00</v>
      </c>
      <c r="K19" s="31"/>
      <c r="M19" s="30" t="s">
        <v>53</v>
      </c>
      <c r="N19" s="30"/>
      <c r="O19" s="31">
        <f>MEDIAN(E4:E30)</f>
        <v>25000</v>
      </c>
      <c r="P19" s="31"/>
    </row>
    <row r="20" spans="1:16" x14ac:dyDescent="0.3">
      <c r="A20" s="2">
        <v>17</v>
      </c>
      <c r="B20" s="7" t="s">
        <v>82</v>
      </c>
      <c r="C20" s="7">
        <v>46</v>
      </c>
      <c r="D20" s="7">
        <v>23000</v>
      </c>
      <c r="E20" s="7">
        <v>90000</v>
      </c>
      <c r="F20" s="7" t="s">
        <v>63</v>
      </c>
      <c r="H20" s="30" t="s">
        <v>136</v>
      </c>
      <c r="I20" s="30"/>
      <c r="J20" s="31" t="str">
        <f>MID(C12,2,3)</f>
        <v>0</v>
      </c>
      <c r="K20" s="31"/>
      <c r="M20" s="30" t="s">
        <v>55</v>
      </c>
      <c r="N20" s="30"/>
      <c r="O20" s="31">
        <f>_xlfn.MODE.SNGL(E4:E30)</f>
        <v>0</v>
      </c>
      <c r="P20" s="31"/>
    </row>
    <row r="21" spans="1:16" x14ac:dyDescent="0.3">
      <c r="A21" s="2">
        <v>18</v>
      </c>
      <c r="B21" s="7" t="s">
        <v>83</v>
      </c>
      <c r="C21" s="7">
        <v>28</v>
      </c>
      <c r="D21" s="7">
        <v>17000</v>
      </c>
      <c r="E21" s="7">
        <v>15000</v>
      </c>
      <c r="F21" s="7" t="s">
        <v>65</v>
      </c>
      <c r="H21" s="30" t="s">
        <v>42</v>
      </c>
      <c r="I21" s="30"/>
      <c r="J21" s="31" t="str">
        <f>_xlfn.CONCAT(C6,"_",D6)</f>
        <v>45_22000</v>
      </c>
      <c r="K21" s="31"/>
      <c r="M21" s="42" t="s">
        <v>51</v>
      </c>
      <c r="N21" s="42"/>
      <c r="O21" s="43">
        <f>_xlfn.STDEV.S(E4:E30)</f>
        <v>49337.719103296513</v>
      </c>
      <c r="P21" s="43"/>
    </row>
    <row r="22" spans="1:16" x14ac:dyDescent="0.3">
      <c r="A22" s="2">
        <v>19</v>
      </c>
      <c r="B22" s="7" t="s">
        <v>84</v>
      </c>
      <c r="C22" s="7">
        <v>52</v>
      </c>
      <c r="D22" s="7">
        <v>29000</v>
      </c>
      <c r="E22" s="7">
        <v>110000</v>
      </c>
      <c r="F22" s="7" t="s">
        <v>63</v>
      </c>
      <c r="M22" s="40" t="s">
        <v>54</v>
      </c>
      <c r="N22" s="40"/>
      <c r="O22" s="41">
        <f>CORREL(D4:D23,E4:E23)</f>
        <v>0.80858538180506534</v>
      </c>
      <c r="P22" s="41"/>
    </row>
    <row r="23" spans="1:16" x14ac:dyDescent="0.3">
      <c r="A23" s="2">
        <v>20</v>
      </c>
      <c r="B23" s="7" t="s">
        <v>85</v>
      </c>
      <c r="C23" s="7">
        <v>37</v>
      </c>
      <c r="D23" s="7">
        <v>20500</v>
      </c>
      <c r="E23" s="7">
        <v>0</v>
      </c>
      <c r="F23" s="7" t="s">
        <v>67</v>
      </c>
    </row>
    <row r="25" spans="1:16" x14ac:dyDescent="0.3">
      <c r="E25" s="24" t="s">
        <v>144</v>
      </c>
      <c r="F25" s="21" t="s">
        <v>173</v>
      </c>
    </row>
    <row r="26" spans="1:16" x14ac:dyDescent="0.3">
      <c r="E26" s="22" t="s">
        <v>65</v>
      </c>
      <c r="F26" s="23">
        <v>93000</v>
      </c>
    </row>
    <row r="27" spans="1:16" x14ac:dyDescent="0.3">
      <c r="E27" s="22" t="s">
        <v>71</v>
      </c>
      <c r="F27" s="23">
        <v>60000</v>
      </c>
    </row>
    <row r="28" spans="1:16" x14ac:dyDescent="0.3">
      <c r="E28" s="22" t="s">
        <v>63</v>
      </c>
      <c r="F28" s="23">
        <v>147000</v>
      </c>
    </row>
    <row r="29" spans="1:16" x14ac:dyDescent="0.3">
      <c r="E29" s="22" t="s">
        <v>67</v>
      </c>
      <c r="F29" s="23">
        <v>119500</v>
      </c>
    </row>
    <row r="30" spans="1:16" x14ac:dyDescent="0.3">
      <c r="E30" s="19" t="s">
        <v>145</v>
      </c>
      <c r="F30" s="20">
        <v>419500</v>
      </c>
    </row>
  </sheetData>
  <mergeCells count="54">
    <mergeCell ref="H21:I21"/>
    <mergeCell ref="J21:K21"/>
    <mergeCell ref="M21:N21"/>
    <mergeCell ref="O21:P21"/>
    <mergeCell ref="M22:N22"/>
    <mergeCell ref="O22:P22"/>
    <mergeCell ref="H19:I19"/>
    <mergeCell ref="J19:K19"/>
    <mergeCell ref="M19:N19"/>
    <mergeCell ref="O19:P19"/>
    <mergeCell ref="H20:I20"/>
    <mergeCell ref="J20:K20"/>
    <mergeCell ref="M20:N20"/>
    <mergeCell ref="O20:P20"/>
    <mergeCell ref="H17:K17"/>
    <mergeCell ref="M17:P17"/>
    <mergeCell ref="H18:I18"/>
    <mergeCell ref="J18:K18"/>
    <mergeCell ref="M18:N18"/>
    <mergeCell ref="O18:P18"/>
    <mergeCell ref="H13:I13"/>
    <mergeCell ref="J13:K13"/>
    <mergeCell ref="M13:N13"/>
    <mergeCell ref="O13:P13"/>
    <mergeCell ref="H14:I14"/>
    <mergeCell ref="J14:K14"/>
    <mergeCell ref="M14:N14"/>
    <mergeCell ref="O14:P14"/>
    <mergeCell ref="H11:K11"/>
    <mergeCell ref="M11:P11"/>
    <mergeCell ref="H12:I12"/>
    <mergeCell ref="J12:K12"/>
    <mergeCell ref="M12:N12"/>
    <mergeCell ref="O12:P12"/>
    <mergeCell ref="H7:I7"/>
    <mergeCell ref="J7:K7"/>
    <mergeCell ref="H8:I8"/>
    <mergeCell ref="J8:K8"/>
    <mergeCell ref="H5:I5"/>
    <mergeCell ref="J5:K5"/>
    <mergeCell ref="M5:N5"/>
    <mergeCell ref="O5:P5"/>
    <mergeCell ref="H6:I6"/>
    <mergeCell ref="J6:K6"/>
    <mergeCell ref="M6:N6"/>
    <mergeCell ref="O6:P6"/>
    <mergeCell ref="A2:F2"/>
    <mergeCell ref="H2:P2"/>
    <mergeCell ref="H3:K3"/>
    <mergeCell ref="M3:P3"/>
    <mergeCell ref="H4:I4"/>
    <mergeCell ref="J4:K4"/>
    <mergeCell ref="M4:N4"/>
    <mergeCell ref="O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Marketing</vt:lpstr>
      <vt:lpstr>HR</vt:lpstr>
      <vt:lpstr>Finance</vt:lpstr>
      <vt:lpstr>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Kajale</dc:creator>
  <cp:lastModifiedBy>Kartik Kajale</cp:lastModifiedBy>
  <dcterms:created xsi:type="dcterms:W3CDTF">2026-02-16T01:13:13Z</dcterms:created>
  <dcterms:modified xsi:type="dcterms:W3CDTF">2026-02-20T13:32:30Z</dcterms:modified>
</cp:coreProperties>
</file>