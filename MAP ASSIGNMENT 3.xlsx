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BB00F100-390E-4909-909E-685DBA4A7D07}" xr6:coauthVersionLast="47" xr6:coauthVersionMax="47" xr10:uidLastSave="{00000000-0000-0000-0000-000000000000}"/>
  <bookViews>
    <workbookView xWindow="-108" yWindow="-108" windowWidth="23256" windowHeight="12456" xr2:uid="{4EDD5E24-CD74-4F8E-AC82-0A91DBE45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D25" i="1"/>
  <c r="D28" i="1"/>
  <c r="D27" i="1"/>
  <c r="D26" i="1"/>
  <c r="C26" i="1"/>
  <c r="C28" i="1"/>
  <c r="C27" i="1"/>
  <c r="C25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6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</calcChain>
</file>

<file path=xl/sharedStrings.xml><?xml version="1.0" encoding="utf-8"?>
<sst xmlns="http://schemas.openxmlformats.org/spreadsheetml/2006/main" count="50" uniqueCount="25">
  <si>
    <t>Month</t>
  </si>
  <si>
    <t>Department</t>
  </si>
  <si>
    <t>Budgeted Expense</t>
  </si>
  <si>
    <t>Actual Expense</t>
  </si>
  <si>
    <t>Revenue Generated</t>
  </si>
  <si>
    <t>Expense Variance</t>
  </si>
  <si>
    <t>Variance %</t>
  </si>
  <si>
    <t>Profit</t>
  </si>
  <si>
    <t>Profit Margin %</t>
  </si>
  <si>
    <t>Variance Type</t>
  </si>
  <si>
    <t>Oct</t>
  </si>
  <si>
    <t>Sales</t>
  </si>
  <si>
    <t>Marketing</t>
  </si>
  <si>
    <t>HR</t>
  </si>
  <si>
    <t>IT</t>
  </si>
  <si>
    <t>Nov</t>
  </si>
  <si>
    <t>Dec</t>
  </si>
  <si>
    <t>Department Summary</t>
  </si>
  <si>
    <t xml:space="preserve">Department </t>
  </si>
  <si>
    <t>Total Actual</t>
  </si>
  <si>
    <t>Total Budget</t>
  </si>
  <si>
    <t>Total Revenue</t>
  </si>
  <si>
    <t xml:space="preserve">Sales </t>
  </si>
  <si>
    <t xml:space="preserve">Marketing </t>
  </si>
  <si>
    <t>FINANCIAL PERFORMANCE &amp; BUDGET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</si>
</sst>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0" borderId="0"/>
  </cellStyleXfs>
  <cellXfs count="14">
    <xf numFmtId="0" fontId="0" fillId="0" borderId="0" xfId="0"/>
    <xf numFmtId="0" fontId="1" fillId="2" borderId="1" xfId="1"/>
    <xf numFmtId="10" fontId="1" fillId="2" borderId="1" xfId="1" applyNumberFormat="1"/>
    <xf numFmtId="0" fontId="2" fillId="4" borderId="1" xfId="1" applyFont="1" applyFill="1"/>
    <xf numFmtId="0" fontId="2" fillId="4" borderId="2" xfId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2" borderId="1" xfId="1" applyAlignment="1">
      <alignment horizontal="left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3" borderId="2" xfId="1" applyFont="1" applyFill="1" applyBorder="1" applyAlignment="1">
      <alignment horizontal="center"/>
    </xf>
  </cellXfs>
  <cellStyles count="3">
    <cellStyle name="Normal" xfId="0" builtinId="0"/>
    <cellStyle name="Normal 2" xfId="2" xr:uid="{CC9B6C5C-17B5-43BE-89FB-3B7746C70FB8}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Actual Vs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Sheet1!$C$24</c:f>
              <c:strCache>
                <c:ptCount val="1"/>
                <c:pt idx="0">
                  <c:v>Total Actual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-1.0018483049979113E-2"/>
                  <c:y val="-7.537688442211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0C6-4F80-800A-C80B20C07B29}"/>
                </c:ext>
              </c:extLst>
            </c:dLbl>
            <c:dLbl>
              <c:idx val="1"/>
              <c:layout>
                <c:manualLayout>
                  <c:x val="6.3193114374216733E-4"/>
                  <c:y val="-8.79396984924623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D7-4393-9568-B5DA05EF39DD}"/>
                </c:ext>
              </c:extLst>
            </c:dLbl>
            <c:dLbl>
              <c:idx val="2"/>
              <c:layout>
                <c:manualLayout>
                  <c:x val="-1.5646946158757183E-2"/>
                  <c:y val="-7.1189279731993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0C6-4F80-800A-C80B20C07B29}"/>
                </c:ext>
              </c:extLst>
            </c:dLbl>
            <c:dLbl>
              <c:idx val="3"/>
              <c:layout>
                <c:manualLayout>
                  <c:x val="-3.3787921780047761E-2"/>
                  <c:y val="-6.7001675041876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0C6-4F80-800A-C80B20C07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Sheet1!$C$25:$C$28</c:f>
              <c:numCache>
                <c:formatCode>General</c:formatCode>
                <c:ptCount val="4"/>
                <c:pt idx="0">
                  <c:v>183000</c:v>
                </c:pt>
                <c:pt idx="1">
                  <c:v>194000</c:v>
                </c:pt>
                <c:pt idx="2">
                  <c:v>101000</c:v>
                </c:pt>
                <c:pt idx="3">
                  <c:v>254000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6-4F80-800A-C80B20C07B29}"/>
            </c:ext>
          </c:extLst>
        </c:ser>
        <c:ser>
          <c:idx val="1"/>
          <c:order val="1"/>
          <c:tx>
            <c:strRef>
              <c:f>Sheet1!$D$24</c:f>
              <c:strCache>
                <c:ptCount val="1"/>
                <c:pt idx="0">
                  <c:v>Total Budget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0"/>
              <c:layout>
                <c:manualLayout>
                  <c:x val="2.5041971104963232E-2"/>
                  <c:y val="-7.1189279731993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C6-4F80-800A-C80B20C07B29}"/>
                </c:ext>
              </c:extLst>
            </c:dLbl>
            <c:dLbl>
              <c:idx val="1"/>
              <c:layout>
                <c:manualLayout>
                  <c:x val="3.6939498553671783E-2"/>
                  <c:y val="-8.37520938023450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C6-4F80-800A-C80B20C07B29}"/>
                </c:ext>
              </c:extLst>
            </c:dLbl>
            <c:dLbl>
              <c:idx val="2"/>
              <c:layout>
                <c:manualLayout>
                  <c:x val="2.6288887312509269E-2"/>
                  <c:y val="-6.28140703517588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0C6-4F80-800A-C80B20C07B29}"/>
                </c:ext>
              </c:extLst>
            </c:dLbl>
            <c:dLbl>
              <c:idx val="3"/>
              <c:layout>
                <c:manualLayout>
                  <c:x val="4.9443538026215192E-2"/>
                  <c:y val="-7.1189279731993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0C6-4F80-800A-C80B20C07B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Sheet1!$D$25:$D$28</c:f>
              <c:numCache>
                <c:formatCode>General</c:formatCode>
                <c:ptCount val="4"/>
                <c:pt idx="0">
                  <c:v>184000</c:v>
                </c:pt>
                <c:pt idx="1">
                  <c:v>187000</c:v>
                </c:pt>
                <c:pt idx="2">
                  <c:v>102000</c:v>
                </c:pt>
                <c:pt idx="3">
                  <c:v>249000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C6-4F80-800A-C80B20C07B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65875135"/>
        <c:axId val="952074623"/>
        <c:axId val="0"/>
      </c:bar3DChart>
      <c:catAx>
        <c:axId val="10658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74623"/>
        <c:crosses val="autoZero"/>
        <c:auto val="1"/>
        <c:lblAlgn val="ctr"/>
        <c:lblOffset val="100"/>
        <c:noMultiLvlLbl val="0"/>
      </c:catAx>
      <c:valAx>
        <c:axId val="9520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8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</xdr:colOff>
      <xdr:row>1</xdr:row>
      <xdr:rowOff>167640</xdr:rowOff>
    </xdr:from>
    <xdr:to>
      <xdr:col>19</xdr:col>
      <xdr:colOff>251460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822AD-F908-E982-C569-D053BCA75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3AAC-7908-4180-A014-AB52D3A1B4FE}">
  <dimension ref="B3:K28"/>
  <sheetViews>
    <sheetView tabSelected="1" zoomScaleNormal="100" workbookViewId="0">
      <selection activeCell="M21" sqref="M21"/>
    </sheetView>
  </sheetViews>
  <sheetFormatPr defaultRowHeight="14.4" x14ac:dyDescent="0.3"/>
  <cols>
    <col min="2" max="2" width="18.88671875" customWidth="1"/>
    <col min="3" max="3" width="12" customWidth="1"/>
    <col min="4" max="4" width="17.33203125" customWidth="1"/>
    <col min="5" max="5" width="14.5546875" customWidth="1"/>
    <col min="6" max="6" width="18.5546875" customWidth="1"/>
    <col min="7" max="7" width="16.44140625" customWidth="1"/>
    <col min="8" max="8" width="11.6640625" customWidth="1"/>
    <col min="9" max="9" width="10.5546875" customWidth="1"/>
    <col min="10" max="10" width="15.44140625" customWidth="1"/>
    <col min="11" max="11" width="14.33203125" customWidth="1"/>
  </cols>
  <sheetData>
    <row r="3" spans="2:11" ht="28.8" customHeight="1" x14ac:dyDescent="0.3">
      <c r="B3" s="7" t="s">
        <v>24</v>
      </c>
      <c r="C3" s="8"/>
      <c r="D3" s="8"/>
      <c r="E3" s="8"/>
      <c r="F3" s="8"/>
      <c r="G3" s="8"/>
      <c r="H3" s="8"/>
      <c r="I3" s="8"/>
      <c r="J3" s="8"/>
      <c r="K3" s="9"/>
    </row>
    <row r="4" spans="2:11" ht="14.4" customHeight="1" x14ac:dyDescent="0.3">
      <c r="B4" s="10"/>
      <c r="C4" s="11"/>
      <c r="D4" s="11"/>
      <c r="E4" s="11"/>
      <c r="F4" s="11"/>
      <c r="G4" s="11"/>
      <c r="H4" s="11"/>
      <c r="I4" s="11"/>
      <c r="J4" s="11"/>
      <c r="K4" s="12"/>
    </row>
    <row r="5" spans="2:11" x14ac:dyDescent="0.3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</row>
    <row r="6" spans="2:11" x14ac:dyDescent="0.3">
      <c r="B6" s="1" t="s">
        <v>10</v>
      </c>
      <c r="C6" s="1" t="s">
        <v>11</v>
      </c>
      <c r="D6" s="1">
        <v>40000</v>
      </c>
      <c r="E6" s="1">
        <v>42000</v>
      </c>
      <c r="F6" s="1">
        <v>90000</v>
      </c>
      <c r="G6" s="1">
        <f>D6-E6</f>
        <v>-2000</v>
      </c>
      <c r="H6" s="2">
        <f>G6/D6</f>
        <v>-0.05</v>
      </c>
      <c r="I6" s="1">
        <f>F6-E6</f>
        <v>48000</v>
      </c>
      <c r="J6" s="2">
        <f>I6/F6</f>
        <v>0.53333333333333333</v>
      </c>
      <c r="K6" s="1" t="str">
        <f>IF(G6&gt;0,"Unfavourable","Favourable")</f>
        <v>Favourable</v>
      </c>
    </row>
    <row r="7" spans="2:11" x14ac:dyDescent="0.3">
      <c r="B7" s="1" t="s">
        <v>10</v>
      </c>
      <c r="C7" s="1" t="s">
        <v>12</v>
      </c>
      <c r="D7" s="1">
        <v>80000</v>
      </c>
      <c r="E7" s="1">
        <v>90000</v>
      </c>
      <c r="F7" s="1">
        <v>100000</v>
      </c>
      <c r="G7" s="1">
        <f t="shared" ref="G7:G20" si="0">D7-E7</f>
        <v>-10000</v>
      </c>
      <c r="H7" s="2">
        <f t="shared" ref="H7:H20" si="1">G7/D7</f>
        <v>-0.125</v>
      </c>
      <c r="I7" s="1">
        <f t="shared" ref="I7:I20" si="2">F7-E7</f>
        <v>10000</v>
      </c>
      <c r="J7" s="2">
        <f t="shared" ref="J7:J20" si="3">I7/F7</f>
        <v>0.1</v>
      </c>
      <c r="K7" s="1" t="str">
        <f t="shared" ref="K7:K20" si="4">IF(G7&gt;0,"Unfavourable","Favourable")</f>
        <v>Favourable</v>
      </c>
    </row>
    <row r="8" spans="2:11" x14ac:dyDescent="0.3">
      <c r="B8" s="1" t="s">
        <v>10</v>
      </c>
      <c r="C8" s="1" t="s">
        <v>13</v>
      </c>
      <c r="D8" s="1">
        <v>54000</v>
      </c>
      <c r="E8" s="1">
        <v>52000</v>
      </c>
      <c r="F8" s="1">
        <v>75000</v>
      </c>
      <c r="G8" s="1">
        <f t="shared" si="0"/>
        <v>2000</v>
      </c>
      <c r="H8" s="2">
        <f t="shared" si="1"/>
        <v>3.7037037037037035E-2</v>
      </c>
      <c r="I8" s="1">
        <f t="shared" si="2"/>
        <v>23000</v>
      </c>
      <c r="J8" s="2">
        <f t="shared" si="3"/>
        <v>0.30666666666666664</v>
      </c>
      <c r="K8" s="1" t="str">
        <f t="shared" si="4"/>
        <v>Unfavourable</v>
      </c>
    </row>
    <row r="9" spans="2:11" x14ac:dyDescent="0.3">
      <c r="B9" s="1" t="s">
        <v>10</v>
      </c>
      <c r="C9" s="1" t="s">
        <v>14</v>
      </c>
      <c r="D9" s="1">
        <v>65000</v>
      </c>
      <c r="E9" s="1">
        <v>67000</v>
      </c>
      <c r="F9" s="1">
        <v>69000</v>
      </c>
      <c r="G9" s="1">
        <f t="shared" si="0"/>
        <v>-2000</v>
      </c>
      <c r="H9" s="2">
        <f t="shared" si="1"/>
        <v>-3.0769230769230771E-2</v>
      </c>
      <c r="I9" s="1">
        <f t="shared" si="2"/>
        <v>2000</v>
      </c>
      <c r="J9" s="2">
        <f t="shared" si="3"/>
        <v>2.8985507246376812E-2</v>
      </c>
      <c r="K9" s="1" t="str">
        <f t="shared" si="4"/>
        <v>Favourable</v>
      </c>
    </row>
    <row r="10" spans="2:11" x14ac:dyDescent="0.3">
      <c r="B10" s="1" t="s">
        <v>15</v>
      </c>
      <c r="C10" s="1" t="s">
        <v>11</v>
      </c>
      <c r="D10" s="1">
        <v>45000</v>
      </c>
      <c r="E10" s="1">
        <v>42000</v>
      </c>
      <c r="F10" s="1">
        <v>95000</v>
      </c>
      <c r="G10" s="1">
        <f t="shared" si="0"/>
        <v>3000</v>
      </c>
      <c r="H10" s="2">
        <f t="shared" si="1"/>
        <v>6.6666666666666666E-2</v>
      </c>
      <c r="I10" s="1">
        <f t="shared" si="2"/>
        <v>53000</v>
      </c>
      <c r="J10" s="2">
        <f t="shared" si="3"/>
        <v>0.55789473684210522</v>
      </c>
      <c r="K10" s="1" t="str">
        <f t="shared" si="4"/>
        <v>Unfavourable</v>
      </c>
    </row>
    <row r="11" spans="2:11" x14ac:dyDescent="0.3">
      <c r="B11" s="1" t="s">
        <v>15</v>
      </c>
      <c r="C11" s="1" t="s">
        <v>12</v>
      </c>
      <c r="D11" s="1">
        <v>15000</v>
      </c>
      <c r="E11" s="1">
        <v>16000</v>
      </c>
      <c r="F11" s="1">
        <v>45000</v>
      </c>
      <c r="G11" s="1">
        <f t="shared" si="0"/>
        <v>-1000</v>
      </c>
      <c r="H11" s="2">
        <f t="shared" si="1"/>
        <v>-6.6666666666666666E-2</v>
      </c>
      <c r="I11" s="1">
        <f t="shared" si="2"/>
        <v>29000</v>
      </c>
      <c r="J11" s="2">
        <f t="shared" si="3"/>
        <v>0.64444444444444449</v>
      </c>
      <c r="K11" s="1" t="str">
        <f t="shared" si="4"/>
        <v>Favourable</v>
      </c>
    </row>
    <row r="12" spans="2:11" x14ac:dyDescent="0.3">
      <c r="B12" s="1" t="s">
        <v>15</v>
      </c>
      <c r="C12" s="1" t="s">
        <v>13</v>
      </c>
      <c r="D12" s="1">
        <v>22000</v>
      </c>
      <c r="E12" s="1">
        <v>24000</v>
      </c>
      <c r="F12" s="1">
        <v>85000</v>
      </c>
      <c r="G12" s="1">
        <f t="shared" si="0"/>
        <v>-2000</v>
      </c>
      <c r="H12" s="2">
        <f t="shared" si="1"/>
        <v>-9.0909090909090912E-2</v>
      </c>
      <c r="I12" s="1">
        <f t="shared" si="2"/>
        <v>61000</v>
      </c>
      <c r="J12" s="2">
        <f t="shared" si="3"/>
        <v>0.71764705882352942</v>
      </c>
      <c r="K12" s="1" t="str">
        <f t="shared" si="4"/>
        <v>Favourable</v>
      </c>
    </row>
    <row r="13" spans="2:11" x14ac:dyDescent="0.3">
      <c r="B13" s="1" t="s">
        <v>15</v>
      </c>
      <c r="C13" s="1" t="s">
        <v>14</v>
      </c>
      <c r="D13" s="1">
        <v>47000</v>
      </c>
      <c r="E13" s="1">
        <v>46000</v>
      </c>
      <c r="F13" s="1">
        <v>70000</v>
      </c>
      <c r="G13" s="1">
        <f t="shared" si="0"/>
        <v>1000</v>
      </c>
      <c r="H13" s="2">
        <f t="shared" si="1"/>
        <v>2.1276595744680851E-2</v>
      </c>
      <c r="I13" s="1">
        <f t="shared" si="2"/>
        <v>24000</v>
      </c>
      <c r="J13" s="2">
        <f t="shared" si="3"/>
        <v>0.34285714285714286</v>
      </c>
      <c r="K13" s="1" t="str">
        <f t="shared" si="4"/>
        <v>Unfavourable</v>
      </c>
    </row>
    <row r="14" spans="2:11" x14ac:dyDescent="0.3">
      <c r="B14" s="1" t="s">
        <v>16</v>
      </c>
      <c r="C14" s="1" t="s">
        <v>11</v>
      </c>
      <c r="D14" s="1">
        <v>64000</v>
      </c>
      <c r="E14" s="1">
        <v>65000</v>
      </c>
      <c r="F14" s="1">
        <v>72000</v>
      </c>
      <c r="G14" s="1">
        <f t="shared" si="0"/>
        <v>-1000</v>
      </c>
      <c r="H14" s="2">
        <f t="shared" si="1"/>
        <v>-1.5625E-2</v>
      </c>
      <c r="I14" s="1">
        <f t="shared" si="2"/>
        <v>7000</v>
      </c>
      <c r="J14" s="2">
        <f t="shared" si="3"/>
        <v>9.7222222222222224E-2</v>
      </c>
      <c r="K14" s="1" t="str">
        <f t="shared" si="4"/>
        <v>Favourable</v>
      </c>
    </row>
    <row r="15" spans="2:11" x14ac:dyDescent="0.3">
      <c r="B15" s="1" t="s">
        <v>16</v>
      </c>
      <c r="C15" s="1" t="s">
        <v>12</v>
      </c>
      <c r="D15" s="1">
        <v>10000</v>
      </c>
      <c r="E15" s="1">
        <v>8000</v>
      </c>
      <c r="F15" s="1">
        <v>94000</v>
      </c>
      <c r="G15" s="1">
        <f t="shared" si="0"/>
        <v>2000</v>
      </c>
      <c r="H15" s="2">
        <f t="shared" si="1"/>
        <v>0.2</v>
      </c>
      <c r="I15" s="1">
        <f t="shared" si="2"/>
        <v>86000</v>
      </c>
      <c r="J15" s="2">
        <f t="shared" si="3"/>
        <v>0.91489361702127658</v>
      </c>
      <c r="K15" s="1" t="str">
        <f t="shared" si="4"/>
        <v>Unfavourable</v>
      </c>
    </row>
    <row r="16" spans="2:11" x14ac:dyDescent="0.3">
      <c r="B16" s="1" t="s">
        <v>16</v>
      </c>
      <c r="C16" s="1" t="s">
        <v>13</v>
      </c>
      <c r="D16" s="1">
        <v>26000</v>
      </c>
      <c r="E16" s="1">
        <v>25000</v>
      </c>
      <c r="F16" s="1">
        <v>36000</v>
      </c>
      <c r="G16" s="1">
        <f t="shared" si="0"/>
        <v>1000</v>
      </c>
      <c r="H16" s="2">
        <f t="shared" si="1"/>
        <v>3.8461538461538464E-2</v>
      </c>
      <c r="I16" s="1">
        <f t="shared" si="2"/>
        <v>11000</v>
      </c>
      <c r="J16" s="2">
        <f t="shared" si="3"/>
        <v>0.30555555555555558</v>
      </c>
      <c r="K16" s="1" t="str">
        <f t="shared" si="4"/>
        <v>Unfavourable</v>
      </c>
    </row>
    <row r="17" spans="2:11" x14ac:dyDescent="0.3">
      <c r="B17" s="1" t="s">
        <v>16</v>
      </c>
      <c r="C17" s="1" t="s">
        <v>14</v>
      </c>
      <c r="D17" s="1">
        <v>47000</v>
      </c>
      <c r="E17" s="1">
        <v>48000</v>
      </c>
      <c r="F17" s="1">
        <v>58000</v>
      </c>
      <c r="G17" s="1">
        <f t="shared" si="0"/>
        <v>-1000</v>
      </c>
      <c r="H17" s="2">
        <f t="shared" si="1"/>
        <v>-2.1276595744680851E-2</v>
      </c>
      <c r="I17" s="1">
        <f t="shared" si="2"/>
        <v>10000</v>
      </c>
      <c r="J17" s="2">
        <f t="shared" si="3"/>
        <v>0.17241379310344829</v>
      </c>
      <c r="K17" s="1" t="str">
        <f t="shared" si="4"/>
        <v>Favourable</v>
      </c>
    </row>
    <row r="18" spans="2:11" x14ac:dyDescent="0.3">
      <c r="B18" s="1" t="s">
        <v>16</v>
      </c>
      <c r="C18" s="1" t="s">
        <v>11</v>
      </c>
      <c r="D18" s="1">
        <v>35000</v>
      </c>
      <c r="E18" s="1">
        <v>34000</v>
      </c>
      <c r="F18" s="1">
        <v>54000</v>
      </c>
      <c r="G18" s="1">
        <f t="shared" si="0"/>
        <v>1000</v>
      </c>
      <c r="H18" s="2">
        <f t="shared" si="1"/>
        <v>2.8571428571428571E-2</v>
      </c>
      <c r="I18" s="1">
        <f t="shared" si="2"/>
        <v>20000</v>
      </c>
      <c r="J18" s="2">
        <f t="shared" si="3"/>
        <v>0.37037037037037035</v>
      </c>
      <c r="K18" s="1" t="str">
        <f t="shared" si="4"/>
        <v>Unfavourable</v>
      </c>
    </row>
    <row r="19" spans="2:11" x14ac:dyDescent="0.3">
      <c r="B19" s="1" t="s">
        <v>15</v>
      </c>
      <c r="C19" s="1" t="s">
        <v>12</v>
      </c>
      <c r="D19" s="1">
        <v>82000</v>
      </c>
      <c r="E19" s="1">
        <v>80000</v>
      </c>
      <c r="F19" s="1">
        <v>90000</v>
      </c>
      <c r="G19" s="1">
        <f t="shared" si="0"/>
        <v>2000</v>
      </c>
      <c r="H19" s="2">
        <f t="shared" si="1"/>
        <v>2.4390243902439025E-2</v>
      </c>
      <c r="I19" s="1">
        <f t="shared" si="2"/>
        <v>10000</v>
      </c>
      <c r="J19" s="2">
        <f t="shared" si="3"/>
        <v>0.1111111111111111</v>
      </c>
      <c r="K19" s="1" t="str">
        <f t="shared" si="4"/>
        <v>Unfavourable</v>
      </c>
    </row>
    <row r="20" spans="2:11" x14ac:dyDescent="0.3">
      <c r="B20" s="1" t="s">
        <v>10</v>
      </c>
      <c r="C20" s="1" t="s">
        <v>14</v>
      </c>
      <c r="D20" s="1">
        <v>90000</v>
      </c>
      <c r="E20" s="1">
        <v>93000</v>
      </c>
      <c r="F20" s="1">
        <v>95000</v>
      </c>
      <c r="G20" s="1">
        <f t="shared" si="0"/>
        <v>-3000</v>
      </c>
      <c r="H20" s="2">
        <f t="shared" si="1"/>
        <v>-3.3333333333333333E-2</v>
      </c>
      <c r="I20" s="1">
        <f t="shared" si="2"/>
        <v>2000</v>
      </c>
      <c r="J20" s="2">
        <f t="shared" si="3"/>
        <v>2.1052631578947368E-2</v>
      </c>
      <c r="K20" s="1" t="str">
        <f t="shared" si="4"/>
        <v>Favourable</v>
      </c>
    </row>
    <row r="23" spans="2:11" ht="18" x14ac:dyDescent="0.35">
      <c r="B23" s="13" t="s">
        <v>17</v>
      </c>
      <c r="C23" s="13"/>
      <c r="D23" s="13"/>
      <c r="E23" s="13"/>
    </row>
    <row r="24" spans="2:11" x14ac:dyDescent="0.3">
      <c r="B24" s="4" t="s">
        <v>18</v>
      </c>
      <c r="C24" s="5" t="s">
        <v>19</v>
      </c>
      <c r="D24" s="5" t="s">
        <v>20</v>
      </c>
      <c r="E24" s="5" t="s">
        <v>21</v>
      </c>
    </row>
    <row r="25" spans="2:11" x14ac:dyDescent="0.3">
      <c r="B25" s="6" t="s">
        <v>22</v>
      </c>
      <c r="C25" s="1">
        <f>SUMIFS(E6:E20,C6:C20,"Sales")</f>
        <v>183000</v>
      </c>
      <c r="D25" s="1">
        <f>SUMIFS(D6:D20,C6:C20,"Sales")</f>
        <v>184000</v>
      </c>
      <c r="E25" s="1">
        <f>SUMIFS(F6:F20,C6:C20,"Sales")</f>
        <v>311000</v>
      </c>
    </row>
    <row r="26" spans="2:11" x14ac:dyDescent="0.3">
      <c r="B26" s="6" t="s">
        <v>23</v>
      </c>
      <c r="C26" s="1">
        <f>SUMIFS(E6:E20,C6:C20,"Marketing")</f>
        <v>194000</v>
      </c>
      <c r="D26" s="1">
        <f>SUMIFS(D6:D20,C6:C20,"Marketing")</f>
        <v>187000</v>
      </c>
      <c r="E26" s="1">
        <f>SUMIFS(F6:F20,C6:C20,"Marketing")</f>
        <v>329000</v>
      </c>
    </row>
    <row r="27" spans="2:11" x14ac:dyDescent="0.3">
      <c r="B27" s="6" t="s">
        <v>13</v>
      </c>
      <c r="C27" s="1">
        <f>SUMIFS(E6:E20,C6:C20,"HR")</f>
        <v>101000</v>
      </c>
      <c r="D27" s="1">
        <f>SUMIFS(D6:D20,C6:C20,"HR")</f>
        <v>102000</v>
      </c>
      <c r="E27" s="1">
        <f>SUMIFS(F6:F20,C6:C20,"HR")</f>
        <v>196000</v>
      </c>
    </row>
    <row r="28" spans="2:11" x14ac:dyDescent="0.3">
      <c r="B28" s="6" t="s">
        <v>14</v>
      </c>
      <c r="C28" s="1">
        <f>SUMIFS(E6:E20,C6:C20,"IT")</f>
        <v>254000</v>
      </c>
      <c r="D28" s="1">
        <f>SUMIFS(D6:D20,C6:C20,"IT")</f>
        <v>249000</v>
      </c>
      <c r="E28" s="1">
        <f>SUMIFS(F6:F20,C6:C20,"IT")</f>
        <v>292000</v>
      </c>
    </row>
  </sheetData>
  <mergeCells count="2">
    <mergeCell ref="B3:K4"/>
    <mergeCell ref="B23:E23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Kajale</dc:creator>
  <cp:lastModifiedBy>Kartik Kajale</cp:lastModifiedBy>
  <dcterms:created xsi:type="dcterms:W3CDTF">2026-02-10T12:22:46Z</dcterms:created>
  <dcterms:modified xsi:type="dcterms:W3CDTF">2026-02-16T14:32:04Z</dcterms:modified>
</cp:coreProperties>
</file>