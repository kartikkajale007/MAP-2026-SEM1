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2C2F1815-C9B1-472D-830B-827EE42BDA1B}" xr6:coauthVersionLast="47" xr6:coauthVersionMax="47" xr10:uidLastSave="{00000000-0000-0000-0000-000000000000}"/>
  <bookViews>
    <workbookView xWindow="-108" yWindow="-108" windowWidth="23256" windowHeight="12456" xr2:uid="{4F4FC9B9-6241-411D-9888-A233D5F16147}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G20" i="1"/>
  <c r="I20" i="1" s="1"/>
  <c r="G10" i="1"/>
  <c r="I10" i="1" s="1"/>
  <c r="J10" i="1" s="1"/>
  <c r="G13" i="1"/>
  <c r="I13" i="1" s="1"/>
  <c r="J13" i="1" s="1"/>
  <c r="G19" i="1"/>
  <c r="I19" i="1" s="1"/>
  <c r="J19" i="1" s="1"/>
  <c r="E7" i="1"/>
  <c r="G7" i="1" s="1"/>
  <c r="I7" i="1" s="1"/>
  <c r="J7" i="1" s="1"/>
  <c r="E6" i="1"/>
  <c r="G6" i="1" s="1"/>
  <c r="I6" i="1" s="1"/>
  <c r="J6" i="1" s="1"/>
  <c r="E8" i="1"/>
  <c r="E9" i="1"/>
  <c r="E11" i="1"/>
  <c r="G11" i="1" s="1"/>
  <c r="I11" i="1" s="1"/>
  <c r="J11" i="1" s="1"/>
  <c r="E12" i="1"/>
  <c r="E14" i="1"/>
  <c r="G14" i="1" s="1"/>
  <c r="I14" i="1" s="1"/>
  <c r="J14" i="1" s="1"/>
  <c r="E15" i="1"/>
  <c r="G15" i="1" s="1"/>
  <c r="I15" i="1" s="1"/>
  <c r="J15" i="1" s="1"/>
  <c r="E16" i="1"/>
  <c r="G16" i="1" s="1"/>
  <c r="I16" i="1" s="1"/>
  <c r="J16" i="1" s="1"/>
  <c r="E17" i="1"/>
  <c r="G17" i="1" s="1"/>
  <c r="I17" i="1" s="1"/>
  <c r="J17" i="1" s="1"/>
  <c r="E18" i="1"/>
  <c r="G18" i="1" s="1"/>
  <c r="I18" i="1" s="1"/>
  <c r="J18" i="1" s="1"/>
  <c r="L19" i="1" l="1"/>
  <c r="L15" i="1"/>
  <c r="L14" i="1"/>
  <c r="L13" i="1"/>
  <c r="L11" i="1"/>
  <c r="L10" i="1"/>
  <c r="G12" i="1"/>
  <c r="I12" i="1" s="1"/>
  <c r="J12" i="1" s="1"/>
  <c r="L16" i="1"/>
  <c r="L17" i="1"/>
  <c r="L20" i="1"/>
  <c r="G9" i="1"/>
  <c r="I9" i="1" s="1"/>
  <c r="J9" i="1" s="1"/>
  <c r="L7" i="1"/>
  <c r="L6" i="1"/>
  <c r="G8" i="1"/>
  <c r="I8" i="1" s="1"/>
  <c r="J8" i="1" s="1"/>
  <c r="E24" i="1" l="1"/>
  <c r="E25" i="1"/>
  <c r="E26" i="1"/>
  <c r="E27" i="1"/>
  <c r="L12" i="1"/>
  <c r="L18" i="1"/>
  <c r="L9" i="1"/>
  <c r="L8" i="1"/>
  <c r="H26" i="1" s="1"/>
  <c r="H27" i="1" l="1"/>
  <c r="H24" i="1"/>
</calcChain>
</file>

<file path=xl/sharedStrings.xml><?xml version="1.0" encoding="utf-8"?>
<sst xmlns="http://schemas.openxmlformats.org/spreadsheetml/2006/main" count="86" uniqueCount="38">
  <si>
    <t>RETAIL SALES &amp; AND PERFORMANCE ANALYSIS</t>
  </si>
  <si>
    <t>Sr.No</t>
  </si>
  <si>
    <t>Name</t>
  </si>
  <si>
    <t>Unit Price</t>
  </si>
  <si>
    <t>Quantity</t>
  </si>
  <si>
    <t>Gross Sales</t>
  </si>
  <si>
    <t>Dis Amount</t>
  </si>
  <si>
    <t>Tax</t>
  </si>
  <si>
    <t>Net Sales</t>
  </si>
  <si>
    <t>Performance</t>
  </si>
  <si>
    <t>Region</t>
  </si>
  <si>
    <t>Furniture</t>
  </si>
  <si>
    <t>Groceries</t>
  </si>
  <si>
    <t>Jewellery</t>
  </si>
  <si>
    <t>Foot Wear</t>
  </si>
  <si>
    <t>Electronics</t>
  </si>
  <si>
    <t>Games</t>
  </si>
  <si>
    <t>Health Care</t>
  </si>
  <si>
    <t xml:space="preserve">Discount </t>
  </si>
  <si>
    <t>Total Revenue</t>
  </si>
  <si>
    <t>STATISTICAL AND LOGICAL FUNCTIONS</t>
  </si>
  <si>
    <t>SUM()</t>
  </si>
  <si>
    <t>MAX()</t>
  </si>
  <si>
    <t>AVERAGE()</t>
  </si>
  <si>
    <t>COUNT()</t>
  </si>
  <si>
    <t>Total Amount</t>
  </si>
  <si>
    <t>Total Count</t>
  </si>
  <si>
    <t>Total Average</t>
  </si>
  <si>
    <t>MAX</t>
  </si>
  <si>
    <t>Row Labels</t>
  </si>
  <si>
    <t>Grand Total</t>
  </si>
  <si>
    <t>Sum of Net Sales</t>
  </si>
  <si>
    <t>North</t>
  </si>
  <si>
    <t>East</t>
  </si>
  <si>
    <t>South</t>
  </si>
  <si>
    <t>West</t>
  </si>
  <si>
    <t>Count of Net Sales</t>
  </si>
  <si>
    <t>Average of 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</si>
</sst>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5">
    <xf numFmtId="0" fontId="0" fillId="0" borderId="0" xfId="0"/>
    <xf numFmtId="0" fontId="0" fillId="0" borderId="1" xfId="0" applyBorder="1"/>
    <xf numFmtId="9" fontId="0" fillId="0" borderId="0" xfId="0" applyNumberFormat="1"/>
    <xf numFmtId="0" fontId="3" fillId="4" borderId="1" xfId="0" applyFont="1" applyFill="1" applyBorder="1"/>
    <xf numFmtId="0" fontId="4" fillId="4" borderId="1" xfId="0" applyFont="1" applyFill="1" applyBorder="1"/>
    <xf numFmtId="10" fontId="4" fillId="4" borderId="1" xfId="0" applyNumberFormat="1" applyFont="1" applyFill="1" applyBorder="1"/>
    <xf numFmtId="0" fontId="2" fillId="3" borderId="2" xfId="1"/>
    <xf numFmtId="10" fontId="2" fillId="3" borderId="2" xfId="1" applyNumberFormat="1"/>
    <xf numFmtId="0" fontId="2" fillId="3" borderId="2" xfId="1" applyNumberForma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2" xfId="1" applyFont="1" applyFill="1" applyAlignment="1">
      <alignment horizontal="center"/>
    </xf>
  </cellXfs>
  <cellStyles count="2">
    <cellStyle name="Normal" xfId="0" builtinId="0"/>
    <cellStyle name="Output" xfId="1" builtinId="21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 ASSIGNMENT 1.xlsx]Sheet1!PivotTable14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Data Formatting</a:t>
            </a:r>
            <a:r>
              <a:rPr lang="en-US" baseline="0"/>
              <a:t> &amp; Visualisation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150419212425465E-2"/>
              <c:y val="9.1779771714582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9.5623240669875081E-3"/>
              <c:y val="-4.89815052188244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6.2916455871352157E-3"/>
              <c:y val="-7.8405664408228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3953460718563392E-2"/>
              <c:y val="-4.55997070133674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8.7498432547661355E-3"/>
              <c:y val="4.65289629493987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5274401449406962E-2"/>
              <c:y val="3.1809070377830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5515313468847695E-2"/>
              <c:y val="4.19766831471647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7620626654663827E-2"/>
              <c:y val="-5.85314045046694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0202073148961461E-3"/>
              <c:y val="-5.80784960019532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3687531099133593E-3"/>
              <c:y val="-3.33406579991454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7408126987020979E-2"/>
              <c:y val="-6.73178294573643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003376748673423E-2"/>
          <c:y val="0.26944100592077158"/>
          <c:w val="0.6341118087446016"/>
          <c:h val="0.62203186229628271"/>
        </c:manualLayout>
      </c:layout>
      <c:pie3DChart>
        <c:varyColors val="1"/>
        <c:ser>
          <c:idx val="0"/>
          <c:order val="0"/>
          <c:tx>
            <c:strRef>
              <c:f>Sheet1!$K$23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1CD1-49FB-A6B6-A408E70E0E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CD1-49FB-A6B6-A408E70E0E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1CD1-49FB-A6B6-A408E70E0E7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CD1-49FB-A6B6-A408E70E0E7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0BE-4650-B996-68A13D51CF8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1CD1-49FB-A6B6-A408E70E0E7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CD1-49FB-A6B6-A408E70E0E7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1CD1-49FB-A6B6-A408E70E0E7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CD1-49FB-A6B6-A408E70E0E7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1CD1-49FB-A6B6-A408E70E0E7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CD1-49FB-A6B6-A408E70E0E7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D1-49FB-A6B6-A408E70E0E79}"/>
              </c:ext>
            </c:extLst>
          </c:dPt>
          <c:dLbls>
            <c:dLbl>
              <c:idx val="0"/>
              <c:layout>
                <c:manualLayout>
                  <c:x val="-6.2916455871352157E-3"/>
                  <c:y val="-7.840566440822803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D1-49FB-A6B6-A408E70E0E79}"/>
                </c:ext>
              </c:extLst>
            </c:dLbl>
            <c:dLbl>
              <c:idx val="1"/>
              <c:layout>
                <c:manualLayout>
                  <c:x val="-1.3953460718563392E-2"/>
                  <c:y val="-4.55997070133674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D1-49FB-A6B6-A408E70E0E79}"/>
                </c:ext>
              </c:extLst>
            </c:dLbl>
            <c:dLbl>
              <c:idx val="2"/>
              <c:layout>
                <c:manualLayout>
                  <c:x val="3.7408126987020979E-2"/>
                  <c:y val="-6.731782945736430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D1-49FB-A6B6-A408E70E0E79}"/>
                </c:ext>
              </c:extLst>
            </c:dLbl>
            <c:dLbl>
              <c:idx val="3"/>
              <c:layout>
                <c:manualLayout>
                  <c:x val="8.3687531099133593E-3"/>
                  <c:y val="-3.33406579991454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D1-49FB-A6B6-A408E70E0E79}"/>
                </c:ext>
              </c:extLst>
            </c:dLbl>
            <c:dLbl>
              <c:idx val="5"/>
              <c:layout>
                <c:manualLayout>
                  <c:x val="5.0202073148961461E-3"/>
                  <c:y val="-5.80784960019532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D1-49FB-A6B6-A408E70E0E79}"/>
                </c:ext>
              </c:extLst>
            </c:dLbl>
            <c:dLbl>
              <c:idx val="6"/>
              <c:layout>
                <c:manualLayout>
                  <c:x val="1.7620626654663827E-2"/>
                  <c:y val="-5.85314045046694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D1-49FB-A6B6-A408E70E0E79}"/>
                </c:ext>
              </c:extLst>
            </c:dLbl>
            <c:dLbl>
              <c:idx val="7"/>
              <c:layout>
                <c:manualLayout>
                  <c:x val="2.5515313468847695E-2"/>
                  <c:y val="4.19766831471647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D1-49FB-A6B6-A408E70E0E79}"/>
                </c:ext>
              </c:extLst>
            </c:dLbl>
            <c:dLbl>
              <c:idx val="8"/>
              <c:layout>
                <c:manualLayout>
                  <c:x val="-4.5274401449406962E-2"/>
                  <c:y val="3.180907037783067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D1-49FB-A6B6-A408E70E0E79}"/>
                </c:ext>
              </c:extLst>
            </c:dLbl>
            <c:dLbl>
              <c:idx val="9"/>
              <c:layout>
                <c:manualLayout>
                  <c:x val="-8.7498432547661355E-3"/>
                  <c:y val="4.65289629493987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D1-49FB-A6B6-A408E70E0E79}"/>
                </c:ext>
              </c:extLst>
            </c:dLbl>
            <c:dLbl>
              <c:idx val="10"/>
              <c:layout>
                <c:manualLayout>
                  <c:x val="4.150419212425465E-2"/>
                  <c:y val="9.17797717145821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D1-49FB-A6B6-A408E70E0E79}"/>
                </c:ext>
              </c:extLst>
            </c:dLbl>
            <c:dLbl>
              <c:idx val="11"/>
              <c:layout>
                <c:manualLayout>
                  <c:x val="-9.5623240669875081E-3"/>
                  <c:y val="-4.898150521882441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D1-49FB-A6B6-A408E70E0E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Sheet1!$J$24:$J$40</c:f>
              <c:multiLvlStrCache>
                <c:ptCount val="12"/>
                <c:lvl>
                  <c:pt idx="0">
                    <c:v>Foot Wear</c:v>
                  </c:pt>
                  <c:pt idx="1">
                    <c:v>Furniture</c:v>
                  </c:pt>
                  <c:pt idx="2">
                    <c:v>Groceries</c:v>
                  </c:pt>
                  <c:pt idx="3">
                    <c:v>Electronics</c:v>
                  </c:pt>
                  <c:pt idx="4">
                    <c:v>Foot Wear</c:v>
                  </c:pt>
                  <c:pt idx="5">
                    <c:v>Furniture</c:v>
                  </c:pt>
                  <c:pt idx="6">
                    <c:v>Groceries</c:v>
                  </c:pt>
                  <c:pt idx="7">
                    <c:v>Furniture</c:v>
                  </c:pt>
                  <c:pt idx="8">
                    <c:v>Health Care</c:v>
                  </c:pt>
                  <c:pt idx="9">
                    <c:v>Jewellery</c:v>
                  </c:pt>
                  <c:pt idx="10">
                    <c:v>Games</c:v>
                  </c:pt>
                  <c:pt idx="11">
                    <c:v>Health Care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7">
                    <c:v>South</c:v>
                  </c:pt>
                  <c:pt idx="10">
                    <c:v>West</c:v>
                  </c:pt>
                </c:lvl>
              </c:multiLvlStrCache>
            </c:multiLvlStrRef>
          </c:cat>
          <c:val>
            <c:numRef>
              <c:f>Sheet1!$K$24:$K$40</c:f>
              <c:numCache>
                <c:formatCode>General</c:formatCode>
                <c:ptCount val="12"/>
                <c:pt idx="0">
                  <c:v>1288.56</c:v>
                </c:pt>
                <c:pt idx="1">
                  <c:v>20897.8</c:v>
                </c:pt>
                <c:pt idx="2">
                  <c:v>2714</c:v>
                </c:pt>
                <c:pt idx="3">
                  <c:v>18137.78</c:v>
                </c:pt>
                <c:pt idx="4">
                  <c:v>3079.8</c:v>
                </c:pt>
                <c:pt idx="5">
                  <c:v>16248.6</c:v>
                </c:pt>
                <c:pt idx="6">
                  <c:v>12234.24</c:v>
                </c:pt>
                <c:pt idx="7">
                  <c:v>3510.5</c:v>
                </c:pt>
                <c:pt idx="8">
                  <c:v>20940.28</c:v>
                </c:pt>
                <c:pt idx="9">
                  <c:v>6690.6</c:v>
                </c:pt>
                <c:pt idx="10">
                  <c:v>70829.5</c:v>
                </c:pt>
                <c:pt idx="11">
                  <c:v>30798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1-49FB-A6B6-A408E70E0E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236220</xdr:colOff>
      <xdr:row>3</xdr:row>
      <xdr:rowOff>11430</xdr:rowOff>
    </xdr:from>
    <xdr:to>
      <xdr:col>18</xdr:col>
      <xdr:colOff>1120140</xdr:colOff>
      <xdr:row>26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1D1C07-BEAB-90AE-6216-DCBFC87A4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7.762917476852" createdVersion="8" refreshedVersion="8" minRefreshableVersion="3" recordCount="15" xr:uid="{7A6BFCFD-5416-44CE-87BC-F206D222CD31}">
  <cacheSource type="worksheet">
    <worksheetSource ref="A5:L20" sheet="Sheet1"/>
  </cacheSource>
  <cacheFields count="12">
    <cacheField name="Sr.No" numFmtId="0">
      <sharedItems containsSemiMixedTypes="0" containsString="0" containsNumber="1" containsInteger="1" minValue="1" maxValue="15"/>
    </cacheField>
    <cacheField name="Name" numFmtId="0">
      <sharedItems count="7">
        <s v="Furniture"/>
        <s v="Groceries"/>
        <s v="Jewellery"/>
        <s v="Foot Wear"/>
        <s v="Games"/>
        <s v="Electronics"/>
        <s v="Health Care"/>
      </sharedItems>
    </cacheField>
    <cacheField name="Unit Price" numFmtId="0">
      <sharedItems containsSemiMixedTypes="0" containsString="0" containsNumber="1" containsInteger="1" minValue="100" maxValue="550"/>
    </cacheField>
    <cacheField name="Quantity" numFmtId="0">
      <sharedItems containsSemiMixedTypes="0" containsString="0" containsNumber="1" containsInteger="1" minValue="10" maxValue="65"/>
    </cacheField>
    <cacheField name="Gross Sales" numFmtId="0">
      <sharedItems containsSemiMixedTypes="0" containsString="0" containsNumber="1" containsInteger="1" minValue="1200" maxValue="35000"/>
    </cacheField>
    <cacheField name="Discount " numFmtId="10">
      <sharedItems containsSemiMixedTypes="0" containsString="0" containsNumber="1" minValue="5.5E-2" maxValue="0.15"/>
    </cacheField>
    <cacheField name="Dis Amount" numFmtId="0">
      <sharedItems containsSemiMixedTypes="0" containsString="0" containsNumber="1" containsInteger="1" minValue="1092" maxValue="30100"/>
    </cacheField>
    <cacheField name="Tax" numFmtId="10">
      <sharedItems containsSemiMixedTypes="0" containsString="0" containsNumber="1" minValue="0.18" maxValue="0.18"/>
    </cacheField>
    <cacheField name="Net Sales" numFmtId="0">
      <sharedItems containsSemiMixedTypes="0" containsString="0" containsNumber="1" minValue="1288.56" maxValue="35518" count="14">
        <n v="16248.6"/>
        <n v="2714"/>
        <n v="6690.6"/>
        <n v="3079.8"/>
        <n v="35311.5"/>
        <n v="4049.76"/>
        <n v="20897.8"/>
        <n v="20940.28"/>
        <n v="12234.24"/>
        <n v="1288.56"/>
        <n v="3510.5"/>
        <n v="11374.02"/>
        <n v="35518"/>
        <n v="30798"/>
      </sharedItems>
    </cacheField>
    <cacheField name="Performanc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Total Revenue" numFmtId="0">
      <sharedItems containsSemiMixedTypes="0" containsString="0" containsNumber="1" minValue="1520.5007999999998" maxValue="41911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n v="510"/>
    <n v="30"/>
    <n v="15300"/>
    <n v="0.1"/>
    <n v="13770"/>
    <n v="0.18"/>
    <x v="0"/>
    <s v="High Value"/>
    <x v="0"/>
    <n v="19173.348000000002"/>
  </r>
  <r>
    <n v="2"/>
    <x v="1"/>
    <n v="125"/>
    <n v="20"/>
    <n v="2500"/>
    <n v="0.08"/>
    <n v="2300"/>
    <n v="0.18"/>
    <x v="1"/>
    <s v="Standard"/>
    <x v="1"/>
    <n v="3202.52"/>
  </r>
  <r>
    <n v="3"/>
    <x v="2"/>
    <n v="120"/>
    <n v="50"/>
    <n v="6000"/>
    <n v="5.5E-2"/>
    <n v="5670"/>
    <n v="0.18"/>
    <x v="2"/>
    <s v="High Value"/>
    <x v="2"/>
    <n v="7894.9080000000004"/>
  </r>
  <r>
    <n v="4"/>
    <x v="3"/>
    <n v="150"/>
    <n v="20"/>
    <n v="3000"/>
    <n v="0.13"/>
    <n v="2610"/>
    <n v="0.18"/>
    <x v="3"/>
    <s v="Standard"/>
    <x v="0"/>
    <n v="3634.1640000000002"/>
  </r>
  <r>
    <n v="5"/>
    <x v="4"/>
    <n v="550"/>
    <n v="65"/>
    <n v="35000"/>
    <n v="0.14499999999999999"/>
    <n v="29925"/>
    <n v="0.18"/>
    <x v="4"/>
    <s v="High Value"/>
    <x v="3"/>
    <n v="41667.57"/>
  </r>
  <r>
    <n v="6"/>
    <x v="5"/>
    <n v="300"/>
    <n v="13"/>
    <n v="3900"/>
    <n v="0.12"/>
    <n v="3432"/>
    <n v="0.18"/>
    <x v="5"/>
    <s v="Standard"/>
    <x v="0"/>
    <n v="4778.7168000000001"/>
  </r>
  <r>
    <n v="7"/>
    <x v="0"/>
    <n v="350"/>
    <n v="55"/>
    <n v="19250"/>
    <n v="0.08"/>
    <n v="17710"/>
    <n v="0.18"/>
    <x v="6"/>
    <s v="High Value"/>
    <x v="1"/>
    <n v="24659.403999999999"/>
  </r>
  <r>
    <n v="8"/>
    <x v="6"/>
    <n v="440"/>
    <n v="45"/>
    <n v="19000"/>
    <n v="6.6000000000000003E-2"/>
    <n v="17746"/>
    <n v="0.18"/>
    <x v="7"/>
    <s v="High Value"/>
    <x v="2"/>
    <n v="24709.5304"/>
  </r>
  <r>
    <n v="9"/>
    <x v="1"/>
    <n v="360"/>
    <n v="32"/>
    <n v="11520"/>
    <n v="0.1"/>
    <n v="10368"/>
    <n v="0.18"/>
    <x v="8"/>
    <s v="High Value"/>
    <x v="0"/>
    <n v="14436.403200000001"/>
  </r>
  <r>
    <n v="10"/>
    <x v="5"/>
    <n v="100"/>
    <n v="25"/>
    <n v="2500"/>
    <n v="0.08"/>
    <n v="2300"/>
    <n v="0.18"/>
    <x v="1"/>
    <s v="Standard"/>
    <x v="0"/>
    <n v="3202.52"/>
  </r>
  <r>
    <n v="11"/>
    <x v="3"/>
    <n v="120"/>
    <n v="10"/>
    <n v="1200"/>
    <n v="0.09"/>
    <n v="1092"/>
    <n v="0.18"/>
    <x v="9"/>
    <s v="Standard"/>
    <x v="1"/>
    <n v="1520.5007999999998"/>
  </r>
  <r>
    <n v="12"/>
    <x v="0"/>
    <n v="250"/>
    <n v="14"/>
    <n v="3500"/>
    <n v="0.15"/>
    <n v="2975"/>
    <n v="0.18"/>
    <x v="10"/>
    <s v="Standard"/>
    <x v="2"/>
    <n v="4142.3900000000003"/>
  </r>
  <r>
    <n v="13"/>
    <x v="5"/>
    <n v="510"/>
    <n v="21"/>
    <n v="10710"/>
    <n v="0.1"/>
    <n v="9639"/>
    <n v="0.18"/>
    <x v="11"/>
    <s v="High Value"/>
    <x v="0"/>
    <n v="13421.3436"/>
  </r>
  <r>
    <n v="14"/>
    <x v="4"/>
    <n v="400"/>
    <n v="43"/>
    <n v="35000"/>
    <n v="0.14000000000000001"/>
    <n v="30100"/>
    <n v="0.18"/>
    <x v="12"/>
    <s v="High Value"/>
    <x v="3"/>
    <n v="41911.24"/>
  </r>
  <r>
    <n v="15"/>
    <x v="6"/>
    <n v="223"/>
    <n v="13"/>
    <n v="29000"/>
    <n v="0.1"/>
    <n v="26100"/>
    <n v="0.18"/>
    <x v="13"/>
    <s v="High Value"/>
    <x v="3"/>
    <n v="36341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8FE8B-0E3B-42DE-97A9-ECF095A6174A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:C36" firstHeaderRow="1" firstDataRow="1" firstDataCol="1"/>
  <pivotFields count="12">
    <pivotField showAll="0"/>
    <pivotField axis="axisRow" showAll="0">
      <items count="8">
        <item x="5"/>
        <item h="1" x="3"/>
        <item h="1" x="0"/>
        <item h="1" x="4"/>
        <item h="1" x="1"/>
        <item h="1" x="6"/>
        <item h="1" x="2"/>
        <item t="default"/>
      </items>
    </pivotField>
    <pivotField showAll="0"/>
    <pivotField showAll="0"/>
    <pivotField showAll="0"/>
    <pivotField numFmtId="10" showAll="0"/>
    <pivotField showAll="0"/>
    <pivotField numFmtId="10"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2">
    <field x="10"/>
    <field x="1"/>
  </rowFields>
  <rowItems count="3">
    <i>
      <x v="1"/>
    </i>
    <i r="1">
      <x/>
    </i>
    <i t="grand">
      <x/>
    </i>
  </rowItems>
  <colItems count="1">
    <i/>
  </colItems>
  <dataFields count="1">
    <dataField name="Count of Net Sales" fld="8" subtotal="count" baseField="10" baseItem="1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1">
            <x v="1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2">
          <reference field="1" count="0"/>
          <reference field="10" count="1" selected="0">
            <x v="1"/>
          </reference>
        </references>
      </pivotArea>
    </format>
    <format dxfId="0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BB5E8-2674-469C-94DE-37AE4886F9F2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C40" firstHeaderRow="1" firstDataRow="1" firstDataCol="1"/>
  <pivotFields count="12">
    <pivotField showAll="0"/>
    <pivotField axis="axisRow" showAll="0">
      <items count="8">
        <item x="5"/>
        <item h="1" x="3"/>
        <item h="1" x="0"/>
        <item h="1" x="4"/>
        <item h="1" x="1"/>
        <item h="1" x="6"/>
        <item h="1" x="2"/>
        <item t="default"/>
      </items>
    </pivotField>
    <pivotField showAll="0"/>
    <pivotField showAll="0"/>
    <pivotField showAll="0"/>
    <pivotField numFmtId="10" showAll="0"/>
    <pivotField showAll="0"/>
    <pivotField numFmtId="10"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2">
    <field x="10"/>
    <field x="1"/>
  </rowFields>
  <rowItems count="3">
    <i>
      <x v="1"/>
    </i>
    <i r="1">
      <x/>
    </i>
    <i t="grand">
      <x/>
    </i>
  </rowItems>
  <colItems count="1">
    <i/>
  </colItems>
  <dataFields count="1">
    <dataField name="Average of Net Sales" fld="8" subtotal="average" baseField="10" baseItem="1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0" type="button" dataOnly="0" labelOnly="1" outline="0" axis="axisRow" fieldPosition="0"/>
    </format>
    <format dxfId="10">
      <pivotArea dataOnly="0" labelOnly="1" fieldPosition="0">
        <references count="1">
          <reference field="10" count="1">
            <x v="1"/>
          </reference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1" count="0"/>
          <reference field="10" count="1" selected="0">
            <x v="1"/>
          </reference>
        </references>
      </pivotArea>
    </format>
    <format dxfId="7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D3826-8991-47D9-9EDD-DC5A731CF3C5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23:K40" firstHeaderRow="1" firstDataRow="1" firstDataCol="1"/>
  <pivotFields count="12">
    <pivotField showAll="0"/>
    <pivotField axis="axisRow" showAll="0">
      <items count="8">
        <item x="5"/>
        <item x="3"/>
        <item x="0"/>
        <item x="4"/>
        <item x="1"/>
        <item x="6"/>
        <item x="2"/>
        <item t="default"/>
      </items>
    </pivotField>
    <pivotField showAll="0"/>
    <pivotField showAll="0"/>
    <pivotField showAll="0"/>
    <pivotField numFmtId="10" showAll="0"/>
    <pivotField showAll="0"/>
    <pivotField numFmtId="10" showAll="0"/>
    <pivotField dataField="1" showAll="0">
      <items count="15">
        <item x="9"/>
        <item x="1"/>
        <item x="3"/>
        <item x="10"/>
        <item x="5"/>
        <item x="2"/>
        <item x="11"/>
        <item x="8"/>
        <item x="0"/>
        <item x="6"/>
        <item x="7"/>
        <item x="13"/>
        <item x="4"/>
        <item x="12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2">
    <field x="10"/>
    <field x="1"/>
  </rowFields>
  <rowItems count="17">
    <i>
      <x/>
    </i>
    <i r="1">
      <x v="1"/>
    </i>
    <i r="1">
      <x v="2"/>
    </i>
    <i r="1">
      <x v="4"/>
    </i>
    <i>
      <x v="1"/>
    </i>
    <i r="1">
      <x/>
    </i>
    <i r="1">
      <x v="1"/>
    </i>
    <i r="1">
      <x v="2"/>
    </i>
    <i r="1">
      <x v="4"/>
    </i>
    <i>
      <x v="2"/>
    </i>
    <i r="1">
      <x v="2"/>
    </i>
    <i r="1">
      <x v="5"/>
    </i>
    <i r="1">
      <x v="6"/>
    </i>
    <i>
      <x v="3"/>
    </i>
    <i r="1">
      <x v="3"/>
    </i>
    <i r="1">
      <x v="5"/>
    </i>
    <i t="grand">
      <x/>
    </i>
  </rowItems>
  <colItems count="1">
    <i/>
  </colItems>
  <dataFields count="1">
    <dataField name="Sum of Net Sales" fld="8" baseField="0" baseItem="0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0" type="button" dataOnly="0" labelOnly="1" outline="0" axis="axisRow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1" count="3">
            <x v="1"/>
            <x v="2"/>
            <x v="4"/>
          </reference>
          <reference field="10" count="1" selected="0">
            <x v="0"/>
          </reference>
        </references>
      </pivotArea>
    </format>
    <format dxfId="17">
      <pivotArea dataOnly="0" labelOnly="1" fieldPosition="0">
        <references count="2">
          <reference field="1" count="4">
            <x v="0"/>
            <x v="1"/>
            <x v="2"/>
            <x v="4"/>
          </reference>
          <reference field="10" count="1" selected="0">
            <x v="1"/>
          </reference>
        </references>
      </pivotArea>
    </format>
    <format dxfId="16">
      <pivotArea dataOnly="0" labelOnly="1" fieldPosition="0">
        <references count="2">
          <reference field="1" count="3">
            <x v="2"/>
            <x v="5"/>
            <x v="6"/>
          </reference>
          <reference field="10" count="1" selected="0">
            <x v="2"/>
          </reference>
        </references>
      </pivotArea>
    </format>
    <format dxfId="15">
      <pivotArea dataOnly="0" labelOnly="1" fieldPosition="0">
        <references count="2">
          <reference field="1" count="2">
            <x v="3"/>
            <x v="5"/>
          </reference>
          <reference field="10" count="1" selected="0">
            <x v="3"/>
          </reference>
        </references>
      </pivotArea>
    </format>
    <format dxfId="14">
      <pivotArea dataOnly="0" labelOnly="1" outline="0" axis="axisValues" fieldPosition="0"/>
    </format>
  </formats>
  <chartFormats count="39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3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7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7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2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2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13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13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13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13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13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  <chartFormat chart="13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13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2"/>
          </reference>
        </references>
      </pivotArea>
    </chartFormat>
    <chartFormat chart="13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2"/>
          </reference>
        </references>
      </pivotArea>
    </chartFormat>
    <chartFormat chart="13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</references>
      </pivotArea>
    </chartFormat>
    <chartFormat chart="13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3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</references>
      </pivotArea>
    </chartFormat>
    <chartFormat chart="15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3"/>
          </reference>
        </references>
      </pivotArea>
    </chartFormat>
    <chartFormat chart="15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15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0" count="1" selected="0">
            <x v="2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0" count="1" selected="0">
            <x v="2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15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FD553-D76A-476C-8083-8E9A020BE502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C32" firstHeaderRow="1" firstDataRow="1" firstDataCol="1"/>
  <pivotFields count="12">
    <pivotField showAll="0"/>
    <pivotField axis="axisRow" showAll="0">
      <items count="8">
        <item x="5"/>
        <item h="1" x="3"/>
        <item h="1" x="0"/>
        <item h="1" x="4"/>
        <item h="1" x="1"/>
        <item h="1" x="6"/>
        <item h="1" x="2"/>
        <item t="default"/>
      </items>
    </pivotField>
    <pivotField showAll="0"/>
    <pivotField showAll="0"/>
    <pivotField showAll="0"/>
    <pivotField numFmtId="10" showAll="0"/>
    <pivotField showAll="0"/>
    <pivotField numFmtId="10"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2">
    <field x="10"/>
    <field x="1"/>
  </rowFields>
  <rowItems count="3">
    <i>
      <x v="1"/>
    </i>
    <i r="1">
      <x/>
    </i>
    <i t="grand">
      <x/>
    </i>
  </rowItems>
  <colItems count="1">
    <i/>
  </colItems>
  <dataFields count="1">
    <dataField name="Sum of Net Sales" fld="8" baseField="10" baseItem="1"/>
  </dataFields>
  <formats count="7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0" type="button" dataOnly="0" labelOnly="1" outline="0" axis="axisRow" fieldPosition="0"/>
    </format>
    <format dxfId="27">
      <pivotArea dataOnly="0" labelOnly="1" fieldPosition="0">
        <references count="1">
          <reference field="10" count="1">
            <x v="1"/>
          </reference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1" count="0"/>
          <reference field="10" count="1" selected="0">
            <x v="1"/>
          </reference>
        </references>
      </pivotArea>
    </format>
    <format dxfId="24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4A43-01EF-4A59-B1ED-8AB68927FB36}">
  <dimension ref="A4:O40"/>
  <sheetViews>
    <sheetView tabSelected="1" topLeftCell="C1" workbookViewId="0">
      <selection activeCell="L1" sqref="L1"/>
    </sheetView>
  </sheetViews>
  <sheetFormatPr defaultRowHeight="14.4" x14ac:dyDescent="0.3"/>
  <cols>
    <col min="2" max="2" width="13.109375" bestFit="1" customWidth="1"/>
    <col min="3" max="3" width="17.88671875" bestFit="1" customWidth="1"/>
    <col min="5" max="5" width="10.5546875" customWidth="1"/>
    <col min="6" max="6" width="9.88671875" customWidth="1"/>
    <col min="7" max="7" width="10.6640625" customWidth="1"/>
    <col min="9" max="9" width="12.109375" bestFit="1" customWidth="1"/>
    <col min="10" max="10" width="13.6640625" bestFit="1" customWidth="1"/>
    <col min="11" max="11" width="15" bestFit="1" customWidth="1"/>
    <col min="12" max="12" width="15.21875" bestFit="1" customWidth="1"/>
    <col min="14" max="14" width="8.88671875" customWidth="1"/>
    <col min="15" max="15" width="9.109375" customWidth="1"/>
    <col min="16" max="16" width="9.5546875" bestFit="1" customWidth="1"/>
    <col min="17" max="17" width="12.44140625" bestFit="1" customWidth="1"/>
    <col min="18" max="18" width="15" bestFit="1" customWidth="1"/>
    <col min="19" max="19" width="16.77734375" bestFit="1" customWidth="1"/>
  </cols>
  <sheetData>
    <row r="4" spans="1:15" ht="25.8" x14ac:dyDescent="0.5">
      <c r="A4" s="12" t="s">
        <v>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5" x14ac:dyDescent="0.3">
      <c r="A5" s="3" t="s">
        <v>1</v>
      </c>
      <c r="B5" s="3" t="s">
        <v>2</v>
      </c>
      <c r="C5" s="4" t="s">
        <v>3</v>
      </c>
      <c r="D5" s="4" t="s">
        <v>4</v>
      </c>
      <c r="E5" s="4" t="s">
        <v>5</v>
      </c>
      <c r="F5" s="5" t="s">
        <v>18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3" t="s">
        <v>19</v>
      </c>
    </row>
    <row r="6" spans="1:15" x14ac:dyDescent="0.3">
      <c r="A6" s="6">
        <v>1</v>
      </c>
      <c r="B6" s="6" t="s">
        <v>11</v>
      </c>
      <c r="C6" s="6">
        <v>510</v>
      </c>
      <c r="D6" s="6">
        <v>30</v>
      </c>
      <c r="E6" s="6">
        <f>C6*D6</f>
        <v>15300</v>
      </c>
      <c r="F6" s="7">
        <v>0.1</v>
      </c>
      <c r="G6" s="6">
        <f>E6-(E6*F6)</f>
        <v>13770</v>
      </c>
      <c r="H6" s="7">
        <v>0.18</v>
      </c>
      <c r="I6" s="8">
        <f>G6+(G6*H6)</f>
        <v>16248.6</v>
      </c>
      <c r="J6" s="6" t="str">
        <f>IF(I6&gt;5000,"High Value","Standard")</f>
        <v>High Value</v>
      </c>
      <c r="K6" s="6" t="s">
        <v>32</v>
      </c>
      <c r="L6" s="6">
        <f>I6+(I6*H6)</f>
        <v>19173.348000000002</v>
      </c>
    </row>
    <row r="7" spans="1:15" x14ac:dyDescent="0.3">
      <c r="A7" s="6">
        <v>2</v>
      </c>
      <c r="B7" s="6" t="s">
        <v>12</v>
      </c>
      <c r="C7" s="6">
        <v>125</v>
      </c>
      <c r="D7" s="6">
        <v>20</v>
      </c>
      <c r="E7" s="6">
        <f>C7*D7</f>
        <v>2500</v>
      </c>
      <c r="F7" s="7">
        <v>0.08</v>
      </c>
      <c r="G7" s="6">
        <f t="shared" ref="G7:G20" si="0">E7-(E7*F7)</f>
        <v>2300</v>
      </c>
      <c r="H7" s="7">
        <v>0.18</v>
      </c>
      <c r="I7" s="8">
        <f t="shared" ref="I7:I20" si="1">G7+(G7*H7)</f>
        <v>2714</v>
      </c>
      <c r="J7" s="6" t="str">
        <f t="shared" ref="J7:J20" si="2">IF(I7&gt;5000,"High Value","Standard")</f>
        <v>Standard</v>
      </c>
      <c r="K7" s="6" t="s">
        <v>33</v>
      </c>
      <c r="L7" s="6">
        <f t="shared" ref="L7:L20" si="3">I7+(I7*H7)</f>
        <v>3202.52</v>
      </c>
      <c r="O7" s="2"/>
    </row>
    <row r="8" spans="1:15" x14ac:dyDescent="0.3">
      <c r="A8" s="6">
        <v>3</v>
      </c>
      <c r="B8" s="6" t="s">
        <v>13</v>
      </c>
      <c r="C8" s="6">
        <v>120</v>
      </c>
      <c r="D8" s="6">
        <v>50</v>
      </c>
      <c r="E8" s="6">
        <f t="shared" ref="E8:E18" si="4">C8*D8</f>
        <v>6000</v>
      </c>
      <c r="F8" s="7">
        <v>5.5E-2</v>
      </c>
      <c r="G8" s="6">
        <f t="shared" si="0"/>
        <v>5670</v>
      </c>
      <c r="H8" s="7">
        <v>0.18</v>
      </c>
      <c r="I8" s="8">
        <f t="shared" si="1"/>
        <v>6690.6</v>
      </c>
      <c r="J8" s="6" t="str">
        <f t="shared" si="2"/>
        <v>High Value</v>
      </c>
      <c r="K8" s="6" t="s">
        <v>34</v>
      </c>
      <c r="L8" s="6">
        <f t="shared" si="3"/>
        <v>7894.9080000000004</v>
      </c>
      <c r="O8" s="2"/>
    </row>
    <row r="9" spans="1:15" x14ac:dyDescent="0.3">
      <c r="A9" s="6">
        <v>4</v>
      </c>
      <c r="B9" s="6" t="s">
        <v>14</v>
      </c>
      <c r="C9" s="6">
        <v>150</v>
      </c>
      <c r="D9" s="6">
        <v>20</v>
      </c>
      <c r="E9" s="6">
        <f t="shared" si="4"/>
        <v>3000</v>
      </c>
      <c r="F9" s="7">
        <v>0.13</v>
      </c>
      <c r="G9" s="6">
        <f t="shared" si="0"/>
        <v>2610</v>
      </c>
      <c r="H9" s="7">
        <v>0.18</v>
      </c>
      <c r="I9" s="8">
        <f t="shared" si="1"/>
        <v>3079.8</v>
      </c>
      <c r="J9" s="6" t="str">
        <f t="shared" si="2"/>
        <v>Standard</v>
      </c>
      <c r="K9" s="6" t="s">
        <v>32</v>
      </c>
      <c r="L9" s="6">
        <f t="shared" si="3"/>
        <v>3634.1640000000002</v>
      </c>
    </row>
    <row r="10" spans="1:15" x14ac:dyDescent="0.3">
      <c r="A10" s="6">
        <v>5</v>
      </c>
      <c r="B10" s="6" t="s">
        <v>16</v>
      </c>
      <c r="C10" s="6">
        <v>550</v>
      </c>
      <c r="D10" s="6">
        <v>65</v>
      </c>
      <c r="E10" s="6">
        <v>35000</v>
      </c>
      <c r="F10" s="7">
        <v>0.14499999999999999</v>
      </c>
      <c r="G10" s="6">
        <f t="shared" si="0"/>
        <v>29925</v>
      </c>
      <c r="H10" s="7">
        <v>0.18</v>
      </c>
      <c r="I10" s="8">
        <f t="shared" si="1"/>
        <v>35311.5</v>
      </c>
      <c r="J10" s="6" t="str">
        <f t="shared" si="2"/>
        <v>High Value</v>
      </c>
      <c r="K10" s="6" t="s">
        <v>35</v>
      </c>
      <c r="L10" s="6">
        <f t="shared" si="3"/>
        <v>41667.57</v>
      </c>
    </row>
    <row r="11" spans="1:15" x14ac:dyDescent="0.3">
      <c r="A11" s="6">
        <v>6</v>
      </c>
      <c r="B11" s="6" t="s">
        <v>15</v>
      </c>
      <c r="C11" s="6">
        <v>300</v>
      </c>
      <c r="D11" s="6">
        <v>13</v>
      </c>
      <c r="E11" s="6">
        <f t="shared" si="4"/>
        <v>3900</v>
      </c>
      <c r="F11" s="7">
        <v>0.12</v>
      </c>
      <c r="G11" s="6">
        <f t="shared" si="0"/>
        <v>3432</v>
      </c>
      <c r="H11" s="7">
        <v>0.18</v>
      </c>
      <c r="I11" s="8">
        <f t="shared" si="1"/>
        <v>4049.76</v>
      </c>
      <c r="J11" s="6" t="str">
        <f t="shared" si="2"/>
        <v>Standard</v>
      </c>
      <c r="K11" s="6" t="s">
        <v>32</v>
      </c>
      <c r="L11" s="6">
        <f t="shared" si="3"/>
        <v>4778.7168000000001</v>
      </c>
    </row>
    <row r="12" spans="1:15" x14ac:dyDescent="0.3">
      <c r="A12" s="6">
        <v>7</v>
      </c>
      <c r="B12" s="6" t="s">
        <v>11</v>
      </c>
      <c r="C12" s="6">
        <v>350</v>
      </c>
      <c r="D12" s="6">
        <v>55</v>
      </c>
      <c r="E12" s="6">
        <f t="shared" si="4"/>
        <v>19250</v>
      </c>
      <c r="F12" s="7">
        <v>0.08</v>
      </c>
      <c r="G12" s="6">
        <f t="shared" si="0"/>
        <v>17710</v>
      </c>
      <c r="H12" s="7">
        <v>0.18</v>
      </c>
      <c r="I12" s="8">
        <f t="shared" si="1"/>
        <v>20897.8</v>
      </c>
      <c r="J12" s="6" t="str">
        <f t="shared" si="2"/>
        <v>High Value</v>
      </c>
      <c r="K12" s="6" t="s">
        <v>33</v>
      </c>
      <c r="L12" s="6">
        <f t="shared" si="3"/>
        <v>24659.403999999999</v>
      </c>
    </row>
    <row r="13" spans="1:15" x14ac:dyDescent="0.3">
      <c r="A13" s="6">
        <v>8</v>
      </c>
      <c r="B13" s="6" t="s">
        <v>17</v>
      </c>
      <c r="C13" s="6">
        <v>440</v>
      </c>
      <c r="D13" s="6">
        <v>45</v>
      </c>
      <c r="E13" s="6">
        <v>19000</v>
      </c>
      <c r="F13" s="7">
        <v>6.6000000000000003E-2</v>
      </c>
      <c r="G13" s="6">
        <f t="shared" si="0"/>
        <v>17746</v>
      </c>
      <c r="H13" s="7">
        <v>0.18</v>
      </c>
      <c r="I13" s="8">
        <f t="shared" si="1"/>
        <v>20940.28</v>
      </c>
      <c r="J13" s="6" t="str">
        <f t="shared" si="2"/>
        <v>High Value</v>
      </c>
      <c r="K13" s="6" t="s">
        <v>34</v>
      </c>
      <c r="L13" s="6">
        <f t="shared" si="3"/>
        <v>24709.5304</v>
      </c>
    </row>
    <row r="14" spans="1:15" x14ac:dyDescent="0.3">
      <c r="A14" s="6">
        <v>9</v>
      </c>
      <c r="B14" s="6" t="s">
        <v>12</v>
      </c>
      <c r="C14" s="6">
        <v>360</v>
      </c>
      <c r="D14" s="6">
        <v>32</v>
      </c>
      <c r="E14" s="6">
        <f t="shared" si="4"/>
        <v>11520</v>
      </c>
      <c r="F14" s="7">
        <v>0.1</v>
      </c>
      <c r="G14" s="6">
        <f t="shared" si="0"/>
        <v>10368</v>
      </c>
      <c r="H14" s="7">
        <v>0.18</v>
      </c>
      <c r="I14" s="8">
        <f t="shared" si="1"/>
        <v>12234.24</v>
      </c>
      <c r="J14" s="6" t="str">
        <f t="shared" si="2"/>
        <v>High Value</v>
      </c>
      <c r="K14" s="6" t="s">
        <v>32</v>
      </c>
      <c r="L14" s="6">
        <f t="shared" si="3"/>
        <v>14436.403200000001</v>
      </c>
    </row>
    <row r="15" spans="1:15" x14ac:dyDescent="0.3">
      <c r="A15" s="6">
        <v>10</v>
      </c>
      <c r="B15" s="6" t="s">
        <v>15</v>
      </c>
      <c r="C15" s="6">
        <v>100</v>
      </c>
      <c r="D15" s="6">
        <v>25</v>
      </c>
      <c r="E15" s="6">
        <f t="shared" si="4"/>
        <v>2500</v>
      </c>
      <c r="F15" s="7">
        <v>0.08</v>
      </c>
      <c r="G15" s="6">
        <f t="shared" si="0"/>
        <v>2300</v>
      </c>
      <c r="H15" s="7">
        <v>0.18</v>
      </c>
      <c r="I15" s="8">
        <f t="shared" si="1"/>
        <v>2714</v>
      </c>
      <c r="J15" s="6" t="str">
        <f t="shared" si="2"/>
        <v>Standard</v>
      </c>
      <c r="K15" s="6" t="s">
        <v>32</v>
      </c>
      <c r="L15" s="6">
        <f t="shared" si="3"/>
        <v>3202.52</v>
      </c>
    </row>
    <row r="16" spans="1:15" x14ac:dyDescent="0.3">
      <c r="A16" s="6">
        <v>11</v>
      </c>
      <c r="B16" s="6" t="s">
        <v>14</v>
      </c>
      <c r="C16" s="6">
        <v>120</v>
      </c>
      <c r="D16" s="6">
        <v>10</v>
      </c>
      <c r="E16" s="6">
        <f t="shared" si="4"/>
        <v>1200</v>
      </c>
      <c r="F16" s="7">
        <v>0.09</v>
      </c>
      <c r="G16" s="6">
        <f t="shared" si="0"/>
        <v>1092</v>
      </c>
      <c r="H16" s="7">
        <v>0.18</v>
      </c>
      <c r="I16" s="8">
        <f t="shared" si="1"/>
        <v>1288.56</v>
      </c>
      <c r="J16" s="6" t="str">
        <f t="shared" si="2"/>
        <v>Standard</v>
      </c>
      <c r="K16" s="6" t="s">
        <v>33</v>
      </c>
      <c r="L16" s="6">
        <f t="shared" si="3"/>
        <v>1520.5007999999998</v>
      </c>
    </row>
    <row r="17" spans="1:12" x14ac:dyDescent="0.3">
      <c r="A17" s="6">
        <v>12</v>
      </c>
      <c r="B17" s="6" t="s">
        <v>11</v>
      </c>
      <c r="C17" s="6">
        <v>250</v>
      </c>
      <c r="D17" s="6">
        <v>14</v>
      </c>
      <c r="E17" s="6">
        <f t="shared" si="4"/>
        <v>3500</v>
      </c>
      <c r="F17" s="7">
        <v>0.15</v>
      </c>
      <c r="G17" s="6">
        <f t="shared" si="0"/>
        <v>2975</v>
      </c>
      <c r="H17" s="7">
        <v>0.18</v>
      </c>
      <c r="I17" s="8">
        <f t="shared" si="1"/>
        <v>3510.5</v>
      </c>
      <c r="J17" s="6" t="str">
        <f t="shared" si="2"/>
        <v>Standard</v>
      </c>
      <c r="K17" s="6" t="s">
        <v>34</v>
      </c>
      <c r="L17" s="6">
        <f t="shared" si="3"/>
        <v>4142.3900000000003</v>
      </c>
    </row>
    <row r="18" spans="1:12" x14ac:dyDescent="0.3">
      <c r="A18" s="6">
        <v>13</v>
      </c>
      <c r="B18" s="6" t="s">
        <v>15</v>
      </c>
      <c r="C18" s="6">
        <v>510</v>
      </c>
      <c r="D18" s="6">
        <v>21</v>
      </c>
      <c r="E18" s="6">
        <f t="shared" si="4"/>
        <v>10710</v>
      </c>
      <c r="F18" s="7">
        <v>0.1</v>
      </c>
      <c r="G18" s="6">
        <f t="shared" si="0"/>
        <v>9639</v>
      </c>
      <c r="H18" s="7">
        <v>0.18</v>
      </c>
      <c r="I18" s="8">
        <f t="shared" si="1"/>
        <v>11374.02</v>
      </c>
      <c r="J18" s="6" t="str">
        <f t="shared" si="2"/>
        <v>High Value</v>
      </c>
      <c r="K18" s="6" t="s">
        <v>32</v>
      </c>
      <c r="L18" s="6">
        <f t="shared" si="3"/>
        <v>13421.3436</v>
      </c>
    </row>
    <row r="19" spans="1:12" x14ac:dyDescent="0.3">
      <c r="A19" s="6">
        <v>14</v>
      </c>
      <c r="B19" s="6" t="s">
        <v>16</v>
      </c>
      <c r="C19" s="6">
        <v>400</v>
      </c>
      <c r="D19" s="6">
        <v>43</v>
      </c>
      <c r="E19" s="6">
        <v>35000</v>
      </c>
      <c r="F19" s="7">
        <v>0.14000000000000001</v>
      </c>
      <c r="G19" s="6">
        <f t="shared" si="0"/>
        <v>30100</v>
      </c>
      <c r="H19" s="7">
        <v>0.18</v>
      </c>
      <c r="I19" s="8">
        <f t="shared" si="1"/>
        <v>35518</v>
      </c>
      <c r="J19" s="6" t="str">
        <f t="shared" si="2"/>
        <v>High Value</v>
      </c>
      <c r="K19" s="6" t="s">
        <v>35</v>
      </c>
      <c r="L19" s="6">
        <f t="shared" si="3"/>
        <v>41911.24</v>
      </c>
    </row>
    <row r="20" spans="1:12" x14ac:dyDescent="0.3">
      <c r="A20" s="6">
        <v>15</v>
      </c>
      <c r="B20" s="6" t="s">
        <v>17</v>
      </c>
      <c r="C20" s="6">
        <v>223</v>
      </c>
      <c r="D20" s="6">
        <v>13</v>
      </c>
      <c r="E20" s="6">
        <v>29000</v>
      </c>
      <c r="F20" s="7">
        <v>0.1</v>
      </c>
      <c r="G20" s="6">
        <f t="shared" si="0"/>
        <v>26100</v>
      </c>
      <c r="H20" s="7">
        <v>0.18</v>
      </c>
      <c r="I20" s="8">
        <f t="shared" si="1"/>
        <v>30798</v>
      </c>
      <c r="J20" s="6" t="str">
        <f t="shared" si="2"/>
        <v>High Value</v>
      </c>
      <c r="K20" s="6" t="s">
        <v>35</v>
      </c>
      <c r="L20" s="6">
        <f t="shared" si="3"/>
        <v>36341.64</v>
      </c>
    </row>
    <row r="23" spans="1:12" ht="21" x14ac:dyDescent="0.4">
      <c r="B23" s="14" t="s">
        <v>20</v>
      </c>
      <c r="C23" s="14"/>
      <c r="D23" s="14"/>
      <c r="E23" s="14"/>
      <c r="F23" s="14"/>
      <c r="G23" s="14"/>
      <c r="H23" s="14"/>
      <c r="J23" s="9" t="s">
        <v>29</v>
      </c>
      <c r="K23" s="1" t="s">
        <v>31</v>
      </c>
    </row>
    <row r="24" spans="1:12" x14ac:dyDescent="0.3">
      <c r="B24" s="6" t="s">
        <v>21</v>
      </c>
      <c r="C24" s="6" t="s">
        <v>25</v>
      </c>
      <c r="D24" s="6"/>
      <c r="E24" s="6">
        <f>SUM(I6:I20)</f>
        <v>207369.66</v>
      </c>
      <c r="F24" s="6"/>
      <c r="G24" s="6"/>
      <c r="H24" s="6">
        <f>SUM(L6:L20)</f>
        <v>244696.19880000001</v>
      </c>
      <c r="J24" s="10" t="s">
        <v>33</v>
      </c>
      <c r="K24" s="1">
        <v>24900.36</v>
      </c>
    </row>
    <row r="25" spans="1:12" x14ac:dyDescent="0.3">
      <c r="B25" s="6" t="s">
        <v>24</v>
      </c>
      <c r="C25" s="6" t="s">
        <v>26</v>
      </c>
      <c r="D25" s="6"/>
      <c r="E25" s="6">
        <f>COUNT(I6:I20)</f>
        <v>15</v>
      </c>
      <c r="F25" s="6"/>
      <c r="G25" s="6"/>
      <c r="H25" s="6"/>
      <c r="J25" s="11" t="s">
        <v>14</v>
      </c>
      <c r="K25" s="1">
        <v>1288.56</v>
      </c>
    </row>
    <row r="26" spans="1:12" x14ac:dyDescent="0.3">
      <c r="B26" s="6" t="s">
        <v>23</v>
      </c>
      <c r="C26" s="6" t="s">
        <v>27</v>
      </c>
      <c r="D26" s="6"/>
      <c r="E26" s="6">
        <f>AVERAGE(I6:I20)</f>
        <v>13824.644</v>
      </c>
      <c r="F26" s="6"/>
      <c r="G26" s="6"/>
      <c r="H26" s="6">
        <f>AVERAGE(L6:L20)</f>
        <v>16313.07992</v>
      </c>
      <c r="J26" s="11" t="s">
        <v>11</v>
      </c>
      <c r="K26" s="1">
        <v>20897.8</v>
      </c>
    </row>
    <row r="27" spans="1:12" x14ac:dyDescent="0.3">
      <c r="B27" s="6" t="s">
        <v>22</v>
      </c>
      <c r="C27" s="6" t="s">
        <v>28</v>
      </c>
      <c r="D27" s="6"/>
      <c r="E27" s="6">
        <f>MAX(I6:I20)</f>
        <v>35518</v>
      </c>
      <c r="F27" s="6"/>
      <c r="G27" s="6"/>
      <c r="H27" s="6">
        <f>MAX(L6:L20)</f>
        <v>41911.24</v>
      </c>
      <c r="J27" s="11" t="s">
        <v>12</v>
      </c>
      <c r="K27" s="1">
        <v>2714</v>
      </c>
    </row>
    <row r="28" spans="1:12" x14ac:dyDescent="0.3">
      <c r="J28" s="10" t="s">
        <v>32</v>
      </c>
      <c r="K28" s="1">
        <v>49700.42</v>
      </c>
    </row>
    <row r="29" spans="1:12" x14ac:dyDescent="0.3">
      <c r="B29" s="9" t="s">
        <v>29</v>
      </c>
      <c r="C29" s="1" t="s">
        <v>31</v>
      </c>
      <c r="J29" s="11" t="s">
        <v>15</v>
      </c>
      <c r="K29" s="1">
        <v>18137.78</v>
      </c>
    </row>
    <row r="30" spans="1:12" x14ac:dyDescent="0.3">
      <c r="B30" s="10" t="s">
        <v>32</v>
      </c>
      <c r="C30" s="1">
        <v>18137.78</v>
      </c>
      <c r="J30" s="11" t="s">
        <v>14</v>
      </c>
      <c r="K30" s="1">
        <v>3079.8</v>
      </c>
    </row>
    <row r="31" spans="1:12" x14ac:dyDescent="0.3">
      <c r="B31" s="11" t="s">
        <v>15</v>
      </c>
      <c r="C31" s="1">
        <v>18137.78</v>
      </c>
      <c r="J31" s="11" t="s">
        <v>11</v>
      </c>
      <c r="K31" s="1">
        <v>16248.6</v>
      </c>
    </row>
    <row r="32" spans="1:12" x14ac:dyDescent="0.3">
      <c r="B32" s="10" t="s">
        <v>30</v>
      </c>
      <c r="C32" s="1">
        <v>18137.78</v>
      </c>
      <c r="J32" s="11" t="s">
        <v>12</v>
      </c>
      <c r="K32" s="1">
        <v>12234.24</v>
      </c>
    </row>
    <row r="33" spans="2:11" x14ac:dyDescent="0.3">
      <c r="B33" s="9" t="s">
        <v>29</v>
      </c>
      <c r="C33" s="1" t="s">
        <v>36</v>
      </c>
      <c r="J33" s="10" t="s">
        <v>34</v>
      </c>
      <c r="K33" s="1">
        <v>31141.379999999997</v>
      </c>
    </row>
    <row r="34" spans="2:11" x14ac:dyDescent="0.3">
      <c r="B34" s="10" t="s">
        <v>32</v>
      </c>
      <c r="C34" s="1">
        <v>3</v>
      </c>
      <c r="J34" s="11" t="s">
        <v>11</v>
      </c>
      <c r="K34" s="1">
        <v>3510.5</v>
      </c>
    </row>
    <row r="35" spans="2:11" x14ac:dyDescent="0.3">
      <c r="B35" s="11" t="s">
        <v>15</v>
      </c>
      <c r="C35" s="1">
        <v>3</v>
      </c>
      <c r="J35" s="11" t="s">
        <v>17</v>
      </c>
      <c r="K35" s="1">
        <v>20940.28</v>
      </c>
    </row>
    <row r="36" spans="2:11" x14ac:dyDescent="0.3">
      <c r="B36" s="10" t="s">
        <v>30</v>
      </c>
      <c r="C36" s="1">
        <v>3</v>
      </c>
      <c r="J36" s="11" t="s">
        <v>13</v>
      </c>
      <c r="K36" s="1">
        <v>6690.6</v>
      </c>
    </row>
    <row r="37" spans="2:11" x14ac:dyDescent="0.3">
      <c r="B37" s="9" t="s">
        <v>29</v>
      </c>
      <c r="C37" s="1" t="s">
        <v>37</v>
      </c>
      <c r="J37" s="10" t="s">
        <v>35</v>
      </c>
      <c r="K37" s="1">
        <v>101627.5</v>
      </c>
    </row>
    <row r="38" spans="2:11" x14ac:dyDescent="0.3">
      <c r="B38" s="10" t="s">
        <v>32</v>
      </c>
      <c r="C38" s="1">
        <v>6045.9266666666663</v>
      </c>
      <c r="J38" s="11" t="s">
        <v>16</v>
      </c>
      <c r="K38" s="1">
        <v>70829.5</v>
      </c>
    </row>
    <row r="39" spans="2:11" x14ac:dyDescent="0.3">
      <c r="B39" s="11" t="s">
        <v>15</v>
      </c>
      <c r="C39" s="1">
        <v>6045.9266666666663</v>
      </c>
      <c r="J39" s="11" t="s">
        <v>17</v>
      </c>
      <c r="K39" s="1">
        <v>30798</v>
      </c>
    </row>
    <row r="40" spans="2:11" x14ac:dyDescent="0.3">
      <c r="B40" s="10" t="s">
        <v>30</v>
      </c>
      <c r="C40" s="1">
        <v>6045.9266666666663</v>
      </c>
      <c r="J40" s="10" t="s">
        <v>30</v>
      </c>
      <c r="K40" s="1">
        <v>207369.66</v>
      </c>
    </row>
  </sheetData>
  <mergeCells count="2">
    <mergeCell ref="A4:L4"/>
    <mergeCell ref="B23:H23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Kajale</dc:creator>
  <cp:lastModifiedBy>Kartik Kajale</cp:lastModifiedBy>
  <dcterms:created xsi:type="dcterms:W3CDTF">2026-02-10T12:35:57Z</dcterms:created>
  <dcterms:modified xsi:type="dcterms:W3CDTF">2026-02-16T14:26:13Z</dcterms:modified>
</cp:coreProperties>
</file>