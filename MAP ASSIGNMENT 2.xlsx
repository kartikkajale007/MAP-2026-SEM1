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12665753-D75D-4121-B0ED-9FB293B84ECC}" xr6:coauthVersionLast="47" xr6:coauthVersionMax="47" xr10:uidLastSave="{00000000-0000-0000-0000-000000000000}"/>
  <bookViews>
    <workbookView xWindow="-108" yWindow="-108" windowWidth="23256" windowHeight="12456" xr2:uid="{437B2EB1-C8A9-4AAA-ACFC-FCDDDDD38A23}"/>
  </bookViews>
  <sheets>
    <sheet name="Survey Data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9" i="1"/>
  <c r="F26" i="1"/>
  <c r="F27" i="1"/>
</calcChain>
</file>

<file path=xl/sharedStrings.xml><?xml version="1.0" encoding="utf-8"?>
<sst xmlns="http://schemas.openxmlformats.org/spreadsheetml/2006/main" count="177" uniqueCount="66">
  <si>
    <t>Survey Data</t>
  </si>
  <si>
    <t>Age Group</t>
  </si>
  <si>
    <t>Gender</t>
  </si>
  <si>
    <t>City</t>
  </si>
  <si>
    <t>Frequent</t>
  </si>
  <si>
    <t>Yes</t>
  </si>
  <si>
    <t>18-25</t>
  </si>
  <si>
    <t>26-35</t>
  </si>
  <si>
    <t>36-45</t>
  </si>
  <si>
    <t>R001</t>
  </si>
  <si>
    <t>R002</t>
  </si>
  <si>
    <t>R003</t>
  </si>
  <si>
    <t>R004</t>
  </si>
  <si>
    <t>Male</t>
  </si>
  <si>
    <t>Female</t>
  </si>
  <si>
    <t>46-55</t>
  </si>
  <si>
    <t>56-65</t>
  </si>
  <si>
    <t>66-75</t>
  </si>
  <si>
    <t>76-85</t>
  </si>
  <si>
    <t>86-95</t>
  </si>
  <si>
    <t>R005</t>
  </si>
  <si>
    <t>R006</t>
  </si>
  <si>
    <t>R007</t>
  </si>
  <si>
    <t>R008</t>
  </si>
  <si>
    <t>R009</t>
  </si>
  <si>
    <t>No</t>
  </si>
  <si>
    <t>Rare</t>
  </si>
  <si>
    <t>Occupational</t>
  </si>
  <si>
    <t>Respondent ID</t>
  </si>
  <si>
    <t>Recommend</t>
  </si>
  <si>
    <t>LOGICAL &amp; PERCENTAGE ANALYSIS</t>
  </si>
  <si>
    <t>1. Percentage of Customer Aware</t>
  </si>
  <si>
    <t>2. Percentage of Satisfied Customers (Rating &gt;4)</t>
  </si>
  <si>
    <t>3. Recommendation Rate (%Yes)</t>
  </si>
  <si>
    <t>4. Frequent Buyers Count</t>
  </si>
  <si>
    <t>Row Labels</t>
  </si>
  <si>
    <t>Grand Total</t>
  </si>
  <si>
    <t>R010</t>
  </si>
  <si>
    <t>96-105</t>
  </si>
  <si>
    <t>R011</t>
  </si>
  <si>
    <t>R012</t>
  </si>
  <si>
    <t>106-115</t>
  </si>
  <si>
    <t>116-125</t>
  </si>
  <si>
    <t>126-135</t>
  </si>
  <si>
    <t>R013</t>
  </si>
  <si>
    <t>R014</t>
  </si>
  <si>
    <t>R015</t>
  </si>
  <si>
    <t>R016</t>
  </si>
  <si>
    <t>R017</t>
  </si>
  <si>
    <t>R018</t>
  </si>
  <si>
    <t>R019</t>
  </si>
  <si>
    <t>R020</t>
  </si>
  <si>
    <t>136-145</t>
  </si>
  <si>
    <t>146-155</t>
  </si>
  <si>
    <t>156-165</t>
  </si>
  <si>
    <t>166-175</t>
  </si>
  <si>
    <t>176-185</t>
  </si>
  <si>
    <t>186-195</t>
  </si>
  <si>
    <t>196-205</t>
  </si>
  <si>
    <t>206-210</t>
  </si>
  <si>
    <t>Product Awareness</t>
  </si>
  <si>
    <t>Purchase Frequency</t>
  </si>
  <si>
    <t>Satisfaction Rating</t>
  </si>
  <si>
    <t>Metro</t>
  </si>
  <si>
    <t>Non-Metro</t>
  </si>
  <si>
    <t>Average of 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</si>
</sst>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0"/>
      <name val="Arial Black"/>
      <family val="2"/>
    </font>
    <font>
      <sz val="16"/>
      <color theme="0"/>
      <name val="Arial Black"/>
      <family val="2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1" fillId="2" borderId="1" xfId="1"/>
    <xf numFmtId="0" fontId="0" fillId="0" borderId="2" xfId="0" pivotButton="1" applyBorder="1"/>
    <xf numFmtId="0" fontId="1" fillId="2" borderId="1" xfId="0" applyFont="1" applyFill="1" applyBorder="1" applyAlignment="1">
      <alignment horizontal="left"/>
    </xf>
    <xf numFmtId="0" fontId="1" fillId="2" borderId="2" xfId="1" applyBorder="1"/>
    <xf numFmtId="0" fontId="1" fillId="2" borderId="2" xfId="1" applyBorder="1" applyAlignment="1">
      <alignment horizontal="left"/>
    </xf>
    <xf numFmtId="0" fontId="1" fillId="2" borderId="2" xfId="1" applyBorder="1" applyAlignment="1"/>
    <xf numFmtId="0" fontId="1" fillId="2" borderId="1" xfId="0" applyFont="1" applyFill="1" applyBorder="1"/>
    <xf numFmtId="0" fontId="6" fillId="0" borderId="0" xfId="0" applyFont="1"/>
    <xf numFmtId="0" fontId="2" fillId="4" borderId="2" xfId="0" applyFont="1" applyFill="1" applyBorder="1"/>
    <xf numFmtId="0" fontId="1" fillId="2" borderId="2" xfId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left"/>
    </xf>
    <xf numFmtId="0" fontId="1" fillId="2" borderId="5" xfId="1" applyBorder="1" applyAlignment="1">
      <alignment horizontal="left"/>
    </xf>
  </cellXfs>
  <cellStyles count="2">
    <cellStyle name="Normal" xfId="0" builtinId="0"/>
    <cellStyle name="Output" xfId="1" builtinId="2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 Frequency Distribution</a:t>
            </a:r>
          </a:p>
        </c:rich>
      </c:tx>
      <c:layout>
        <c:manualLayout>
          <c:xMode val="edge"/>
          <c:yMode val="edge"/>
          <c:x val="0.19311104381183122"/>
          <c:y val="8.8556612294132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36967494447808"/>
          <c:y val="0.2552523746310002"/>
          <c:w val="0.75383101150817688"/>
          <c:h val="0.5296481848544913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Frequent</c:v>
              </c:pt>
              <c:pt idx="1">
                <c:v>Occupational</c:v>
              </c:pt>
              <c:pt idx="2">
                <c:v>Rare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25</c:v>
              </c:pt>
              <c:pt idx="2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0-B3A5-43B5-AB43-2E7BAAD3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2393840"/>
        <c:axId val="352401520"/>
      </c:barChart>
      <c:catAx>
        <c:axId val="3523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01520"/>
        <c:crosses val="autoZero"/>
        <c:auto val="1"/>
        <c:lblAlgn val="ctr"/>
        <c:lblOffset val="100"/>
        <c:noMultiLvlLbl val="0"/>
      </c:catAx>
      <c:valAx>
        <c:axId val="35240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customers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4200687385208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93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24</xdr:row>
      <xdr:rowOff>266700</xdr:rowOff>
    </xdr:from>
    <xdr:to>
      <xdr:col>11</xdr:col>
      <xdr:colOff>533400</xdr:colOff>
      <xdr:row>42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19943-3A80-41F6-B702-BEE8C869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689022685183" createdVersion="8" refreshedVersion="8" minRefreshableVersion="3" recordCount="20" xr:uid="{7E9CE2C9-A51C-4216-ACD5-F5B27774594F}">
  <cacheSource type="worksheet">
    <worksheetSource ref="A3:H23" sheet="Survey Data"/>
  </cacheSource>
  <cacheFields count="8">
    <cacheField name="Respondent ID" numFmtId="0">
      <sharedItems/>
    </cacheField>
    <cacheField name="Age Group" numFmtId="0">
      <sharedItems count="20">
        <s v="18-25"/>
        <s v="26-35"/>
        <s v="36-45"/>
        <s v="46-55"/>
        <s v="56-65"/>
        <s v="66-75"/>
        <s v="76-85"/>
        <s v="86-95"/>
        <s v="96-105"/>
        <s v="106-115"/>
        <s v="116-125"/>
        <s v="126-135"/>
        <s v="136-145"/>
        <s v="146-155"/>
        <s v="156-165"/>
        <s v="166-175"/>
        <s v="176-185"/>
        <s v="186-195"/>
        <s v="196-205"/>
        <s v="206-210"/>
      </sharedItems>
    </cacheField>
    <cacheField name="Gender" numFmtId="0">
      <sharedItems/>
    </cacheField>
    <cacheField name="City" numFmtId="0">
      <sharedItems/>
    </cacheField>
    <cacheField name="Product Awareness" numFmtId="0">
      <sharedItems/>
    </cacheField>
    <cacheField name="Purchase Frequency" numFmtId="0">
      <sharedItems count="3">
        <s v="Rare"/>
        <s v="Occupational"/>
        <s v="Frequent"/>
      </sharedItems>
    </cacheField>
    <cacheField name="Satisfaction Rating" numFmtId="0">
      <sharedItems containsSemiMixedTypes="0" containsString="0" containsNumber="1" containsInteger="1" minValue="3" maxValue="5"/>
    </cacheField>
    <cacheField name="Recomme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001"/>
    <x v="0"/>
    <s v="Female"/>
    <s v="Metro"/>
    <s v="Yes"/>
    <x v="0"/>
    <n v="4"/>
    <s v="Yes"/>
  </r>
  <r>
    <s v="R002"/>
    <x v="1"/>
    <s v="Male"/>
    <s v="Metro"/>
    <s v="No"/>
    <x v="0"/>
    <n v="4"/>
    <s v="Yes"/>
  </r>
  <r>
    <s v="R003"/>
    <x v="2"/>
    <s v="Female"/>
    <s v="Metro"/>
    <s v="No"/>
    <x v="1"/>
    <n v="5"/>
    <s v="Yes"/>
  </r>
  <r>
    <s v="R004"/>
    <x v="3"/>
    <s v="Male"/>
    <s v="Metro"/>
    <s v="Yes"/>
    <x v="0"/>
    <n v="3"/>
    <s v="Yes"/>
  </r>
  <r>
    <s v="R005"/>
    <x v="4"/>
    <s v="Male"/>
    <s v="Non-Metro"/>
    <s v="Yes"/>
    <x v="2"/>
    <n v="3"/>
    <s v="Yes"/>
  </r>
  <r>
    <s v="R006"/>
    <x v="5"/>
    <s v="Male"/>
    <s v="Metro"/>
    <s v="No"/>
    <x v="1"/>
    <n v="5"/>
    <s v="No"/>
  </r>
  <r>
    <s v="R007"/>
    <x v="6"/>
    <s v="Female"/>
    <s v="Non-Metro"/>
    <s v="Yes"/>
    <x v="1"/>
    <n v="5"/>
    <s v="Yes"/>
  </r>
  <r>
    <s v="R008"/>
    <x v="7"/>
    <s v="Female"/>
    <s v="Non-Metro"/>
    <s v="No"/>
    <x v="0"/>
    <n v="4"/>
    <s v="No"/>
  </r>
  <r>
    <s v="R009"/>
    <x v="8"/>
    <s v="Female"/>
    <s v="Metro"/>
    <s v="Yes"/>
    <x v="2"/>
    <n v="3"/>
    <s v="Yes"/>
  </r>
  <r>
    <s v="R010"/>
    <x v="9"/>
    <s v="Male"/>
    <s v="Metro"/>
    <s v="No"/>
    <x v="2"/>
    <n v="3"/>
    <s v="No"/>
  </r>
  <r>
    <s v="R011"/>
    <x v="10"/>
    <s v="Male"/>
    <s v="Non-Metro"/>
    <s v="Yes"/>
    <x v="0"/>
    <n v="4"/>
    <s v="Yes"/>
  </r>
  <r>
    <s v="R012"/>
    <x v="11"/>
    <s v="Male"/>
    <s v="Metro"/>
    <s v="Yes"/>
    <x v="0"/>
    <n v="4"/>
    <s v="Yes"/>
  </r>
  <r>
    <s v="R013"/>
    <x v="12"/>
    <s v="Female"/>
    <s v="Non-Metro"/>
    <s v="Yes"/>
    <x v="2"/>
    <n v="3"/>
    <s v="Yes"/>
  </r>
  <r>
    <s v="R014"/>
    <x v="13"/>
    <s v="Male"/>
    <s v="Metro"/>
    <s v="Yes"/>
    <x v="0"/>
    <n v="4"/>
    <s v="Yes"/>
  </r>
  <r>
    <s v="R015"/>
    <x v="14"/>
    <s v="Male"/>
    <s v="Metro"/>
    <s v="No"/>
    <x v="0"/>
    <n v="4"/>
    <s v="No"/>
  </r>
  <r>
    <s v="R016"/>
    <x v="15"/>
    <s v="Female"/>
    <s v="Metro"/>
    <s v="No"/>
    <x v="1"/>
    <n v="5"/>
    <s v="No"/>
  </r>
  <r>
    <s v="R017"/>
    <x v="16"/>
    <s v="Female"/>
    <s v="Metro"/>
    <s v="Yes"/>
    <x v="1"/>
    <n v="5"/>
    <s v="Yes"/>
  </r>
  <r>
    <s v="R018"/>
    <x v="17"/>
    <s v="Female"/>
    <s v="Non-Metro"/>
    <s v="Yes"/>
    <x v="2"/>
    <n v="3"/>
    <s v="Yes"/>
  </r>
  <r>
    <s v="R019"/>
    <x v="18"/>
    <s v="Male"/>
    <s v="Non-Metro"/>
    <s v="No"/>
    <x v="2"/>
    <n v="3"/>
    <s v="No"/>
  </r>
  <r>
    <s v="R020"/>
    <x v="19"/>
    <s v="Male"/>
    <s v="Non-Metro"/>
    <s v="No"/>
    <x v="0"/>
    <n v="4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40424-3413-4DA3-B8F1-512EE061DA07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3:K24" firstHeaderRow="1" firstDataRow="1" firstDataCol="1"/>
  <pivotFields count="8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Satisfaction Rating" fld="6" subtotal="average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fieldPosition="0">
        <references count="1">
          <reference field="1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CB2D-5C67-414B-9985-1E6BC305B97B}">
  <dimension ref="A1:K31"/>
  <sheetViews>
    <sheetView tabSelected="1" workbookViewId="0">
      <selection activeCell="I4" sqref="I4"/>
    </sheetView>
  </sheetViews>
  <sheetFormatPr defaultRowHeight="14.4" x14ac:dyDescent="0.3"/>
  <cols>
    <col min="1" max="1" width="13.21875" customWidth="1"/>
    <col min="2" max="2" width="9.77734375" customWidth="1"/>
    <col min="3" max="3" width="8.88671875" customWidth="1"/>
    <col min="4" max="4" width="10.21875" customWidth="1"/>
    <col min="5" max="5" width="16.88671875" bestFit="1" customWidth="1"/>
    <col min="6" max="6" width="18.109375" customWidth="1"/>
    <col min="7" max="7" width="17.109375" customWidth="1"/>
    <col min="8" max="8" width="12.109375" customWidth="1"/>
    <col min="10" max="10" width="13" customWidth="1"/>
    <col min="11" max="11" width="26.6640625" customWidth="1"/>
  </cols>
  <sheetData>
    <row r="1" spans="1:11" x14ac:dyDescent="0.3">
      <c r="D1" s="1"/>
    </row>
    <row r="2" spans="1:11" ht="27.6" x14ac:dyDescent="0.65">
      <c r="A2" s="14" t="s">
        <v>0</v>
      </c>
      <c r="B2" s="14"/>
      <c r="C2" s="14"/>
      <c r="D2" s="14"/>
      <c r="E2" s="14"/>
      <c r="F2" s="14"/>
      <c r="G2" s="14"/>
      <c r="H2" s="14"/>
    </row>
    <row r="3" spans="1:11" x14ac:dyDescent="0.3">
      <c r="A3" s="12" t="s">
        <v>28</v>
      </c>
      <c r="B3" s="12" t="s">
        <v>1</v>
      </c>
      <c r="C3" s="12" t="s">
        <v>2</v>
      </c>
      <c r="D3" s="12" t="s">
        <v>3</v>
      </c>
      <c r="E3" s="12" t="s">
        <v>60</v>
      </c>
      <c r="F3" s="12" t="s">
        <v>61</v>
      </c>
      <c r="G3" s="12" t="s">
        <v>62</v>
      </c>
      <c r="H3" s="12" t="s">
        <v>29</v>
      </c>
      <c r="J3" s="5" t="s">
        <v>35</v>
      </c>
      <c r="K3" s="2" t="s">
        <v>65</v>
      </c>
    </row>
    <row r="4" spans="1:11" x14ac:dyDescent="0.3">
      <c r="A4" s="7" t="s">
        <v>9</v>
      </c>
      <c r="B4" s="7" t="s">
        <v>6</v>
      </c>
      <c r="C4" s="7" t="s">
        <v>14</v>
      </c>
      <c r="D4" s="7" t="s">
        <v>63</v>
      </c>
      <c r="E4" s="7" t="s">
        <v>5</v>
      </c>
      <c r="F4" s="7" t="s">
        <v>26</v>
      </c>
      <c r="G4" s="9">
        <v>4</v>
      </c>
      <c r="H4" s="7" t="s">
        <v>5</v>
      </c>
      <c r="J4" s="6" t="s">
        <v>6</v>
      </c>
      <c r="K4" s="10">
        <v>4</v>
      </c>
    </row>
    <row r="5" spans="1:11" x14ac:dyDescent="0.3">
      <c r="A5" s="7" t="s">
        <v>10</v>
      </c>
      <c r="B5" s="7" t="s">
        <v>7</v>
      </c>
      <c r="C5" s="7" t="s">
        <v>13</v>
      </c>
      <c r="D5" s="7" t="s">
        <v>63</v>
      </c>
      <c r="E5" s="7" t="s">
        <v>25</v>
      </c>
      <c r="F5" s="7" t="s">
        <v>26</v>
      </c>
      <c r="G5" s="9">
        <v>4</v>
      </c>
      <c r="H5" s="7" t="s">
        <v>5</v>
      </c>
      <c r="J5" s="6" t="s">
        <v>7</v>
      </c>
      <c r="K5" s="10">
        <v>4</v>
      </c>
    </row>
    <row r="6" spans="1:11" x14ac:dyDescent="0.3">
      <c r="A6" s="7" t="s">
        <v>11</v>
      </c>
      <c r="B6" s="7" t="s">
        <v>8</v>
      </c>
      <c r="C6" s="7" t="s">
        <v>14</v>
      </c>
      <c r="D6" s="7" t="s">
        <v>63</v>
      </c>
      <c r="E6" s="7" t="s">
        <v>25</v>
      </c>
      <c r="F6" s="7" t="s">
        <v>27</v>
      </c>
      <c r="G6" s="9">
        <v>5</v>
      </c>
      <c r="H6" s="7" t="s">
        <v>5</v>
      </c>
      <c r="J6" s="6" t="s">
        <v>8</v>
      </c>
      <c r="K6" s="10">
        <v>5</v>
      </c>
    </row>
    <row r="7" spans="1:11" x14ac:dyDescent="0.3">
      <c r="A7" s="7" t="s">
        <v>12</v>
      </c>
      <c r="B7" s="7" t="s">
        <v>15</v>
      </c>
      <c r="C7" s="7" t="s">
        <v>13</v>
      </c>
      <c r="D7" s="7" t="s">
        <v>63</v>
      </c>
      <c r="E7" s="7" t="s">
        <v>5</v>
      </c>
      <c r="F7" s="7" t="s">
        <v>26</v>
      </c>
      <c r="G7" s="9">
        <v>3</v>
      </c>
      <c r="H7" s="7" t="s">
        <v>5</v>
      </c>
      <c r="J7" s="6" t="s">
        <v>15</v>
      </c>
      <c r="K7" s="10">
        <v>3</v>
      </c>
    </row>
    <row r="8" spans="1:11" x14ac:dyDescent="0.3">
      <c r="A8" s="7" t="s">
        <v>20</v>
      </c>
      <c r="B8" s="7" t="s">
        <v>16</v>
      </c>
      <c r="C8" s="7" t="s">
        <v>13</v>
      </c>
      <c r="D8" s="7" t="s">
        <v>64</v>
      </c>
      <c r="E8" s="7" t="s">
        <v>5</v>
      </c>
      <c r="F8" s="7" t="s">
        <v>4</v>
      </c>
      <c r="G8" s="9">
        <v>3</v>
      </c>
      <c r="H8" s="7" t="s">
        <v>5</v>
      </c>
      <c r="J8" s="6" t="s">
        <v>16</v>
      </c>
      <c r="K8" s="10">
        <v>3</v>
      </c>
    </row>
    <row r="9" spans="1:11" x14ac:dyDescent="0.3">
      <c r="A9" s="7" t="s">
        <v>21</v>
      </c>
      <c r="B9" s="7" t="s">
        <v>17</v>
      </c>
      <c r="C9" s="7" t="s">
        <v>13</v>
      </c>
      <c r="D9" s="7" t="s">
        <v>63</v>
      </c>
      <c r="E9" s="7" t="s">
        <v>25</v>
      </c>
      <c r="F9" s="7" t="s">
        <v>27</v>
      </c>
      <c r="G9" s="9">
        <v>5</v>
      </c>
      <c r="H9" s="7" t="s">
        <v>25</v>
      </c>
      <c r="J9" s="6" t="s">
        <v>17</v>
      </c>
      <c r="K9" s="10">
        <v>5</v>
      </c>
    </row>
    <row r="10" spans="1:11" x14ac:dyDescent="0.3">
      <c r="A10" s="7" t="s">
        <v>22</v>
      </c>
      <c r="B10" s="7" t="s">
        <v>18</v>
      </c>
      <c r="C10" s="7" t="s">
        <v>14</v>
      </c>
      <c r="D10" s="7" t="s">
        <v>64</v>
      </c>
      <c r="E10" s="7" t="s">
        <v>5</v>
      </c>
      <c r="F10" s="7" t="s">
        <v>27</v>
      </c>
      <c r="G10" s="9">
        <v>5</v>
      </c>
      <c r="H10" s="7" t="s">
        <v>5</v>
      </c>
      <c r="J10" s="6" t="s">
        <v>18</v>
      </c>
      <c r="K10" s="10">
        <v>5</v>
      </c>
    </row>
    <row r="11" spans="1:11" x14ac:dyDescent="0.3">
      <c r="A11" s="7" t="s">
        <v>23</v>
      </c>
      <c r="B11" s="7" t="s">
        <v>19</v>
      </c>
      <c r="C11" s="7" t="s">
        <v>14</v>
      </c>
      <c r="D11" s="7" t="s">
        <v>64</v>
      </c>
      <c r="E11" s="7" t="s">
        <v>25</v>
      </c>
      <c r="F11" s="7" t="s">
        <v>26</v>
      </c>
      <c r="G11" s="9">
        <v>4</v>
      </c>
      <c r="H11" s="7" t="s">
        <v>25</v>
      </c>
      <c r="J11" s="6" t="s">
        <v>19</v>
      </c>
      <c r="K11" s="10">
        <v>4</v>
      </c>
    </row>
    <row r="12" spans="1:11" x14ac:dyDescent="0.3">
      <c r="A12" s="7" t="s">
        <v>24</v>
      </c>
      <c r="B12" s="7" t="s">
        <v>38</v>
      </c>
      <c r="C12" s="7" t="s">
        <v>14</v>
      </c>
      <c r="D12" s="7" t="s">
        <v>63</v>
      </c>
      <c r="E12" s="7" t="s">
        <v>5</v>
      </c>
      <c r="F12" s="7" t="s">
        <v>4</v>
      </c>
      <c r="G12" s="9">
        <v>3</v>
      </c>
      <c r="H12" s="7" t="s">
        <v>5</v>
      </c>
      <c r="J12" s="6" t="s">
        <v>38</v>
      </c>
      <c r="K12" s="10">
        <v>3</v>
      </c>
    </row>
    <row r="13" spans="1:11" x14ac:dyDescent="0.3">
      <c r="A13" s="7" t="s">
        <v>37</v>
      </c>
      <c r="B13" s="7" t="s">
        <v>41</v>
      </c>
      <c r="C13" s="7" t="s">
        <v>13</v>
      </c>
      <c r="D13" s="7" t="s">
        <v>63</v>
      </c>
      <c r="E13" s="7" t="s">
        <v>25</v>
      </c>
      <c r="F13" s="7" t="s">
        <v>4</v>
      </c>
      <c r="G13" s="7">
        <v>3</v>
      </c>
      <c r="H13" s="7" t="s">
        <v>25</v>
      </c>
      <c r="J13" s="6" t="s">
        <v>41</v>
      </c>
      <c r="K13" s="10">
        <v>3</v>
      </c>
    </row>
    <row r="14" spans="1:11" x14ac:dyDescent="0.3">
      <c r="A14" s="7" t="s">
        <v>39</v>
      </c>
      <c r="B14" s="7" t="s">
        <v>42</v>
      </c>
      <c r="C14" s="7" t="s">
        <v>13</v>
      </c>
      <c r="D14" s="7" t="s">
        <v>64</v>
      </c>
      <c r="E14" s="7" t="s">
        <v>5</v>
      </c>
      <c r="F14" s="7" t="s">
        <v>26</v>
      </c>
      <c r="G14" s="7">
        <v>4</v>
      </c>
      <c r="H14" s="7" t="s">
        <v>5</v>
      </c>
      <c r="J14" s="6" t="s">
        <v>42</v>
      </c>
      <c r="K14" s="10">
        <v>4</v>
      </c>
    </row>
    <row r="15" spans="1:11" x14ac:dyDescent="0.3">
      <c r="A15" s="7" t="s">
        <v>40</v>
      </c>
      <c r="B15" s="7" t="s">
        <v>43</v>
      </c>
      <c r="C15" s="7" t="s">
        <v>13</v>
      </c>
      <c r="D15" s="7" t="s">
        <v>63</v>
      </c>
      <c r="E15" s="7" t="s">
        <v>5</v>
      </c>
      <c r="F15" s="7" t="s">
        <v>26</v>
      </c>
      <c r="G15" s="7">
        <v>4</v>
      </c>
      <c r="H15" s="7" t="s">
        <v>5</v>
      </c>
      <c r="J15" s="6" t="s">
        <v>43</v>
      </c>
      <c r="K15" s="10">
        <v>4</v>
      </c>
    </row>
    <row r="16" spans="1:11" x14ac:dyDescent="0.3">
      <c r="A16" s="7" t="s">
        <v>44</v>
      </c>
      <c r="B16" s="7" t="s">
        <v>52</v>
      </c>
      <c r="C16" s="4" t="s">
        <v>14</v>
      </c>
      <c r="D16" s="4" t="s">
        <v>64</v>
      </c>
      <c r="E16" s="7" t="s">
        <v>5</v>
      </c>
      <c r="F16" s="4" t="s">
        <v>4</v>
      </c>
      <c r="G16" s="4">
        <v>3</v>
      </c>
      <c r="H16" s="7" t="s">
        <v>5</v>
      </c>
      <c r="J16" s="6" t="s">
        <v>52</v>
      </c>
      <c r="K16" s="10">
        <v>3</v>
      </c>
    </row>
    <row r="17" spans="1:11" x14ac:dyDescent="0.3">
      <c r="A17" s="7" t="s">
        <v>45</v>
      </c>
      <c r="B17" s="7" t="s">
        <v>53</v>
      </c>
      <c r="C17" s="4" t="s">
        <v>13</v>
      </c>
      <c r="D17" s="4" t="s">
        <v>63</v>
      </c>
      <c r="E17" s="7" t="s">
        <v>5</v>
      </c>
      <c r="F17" s="4" t="s">
        <v>26</v>
      </c>
      <c r="G17" s="4">
        <v>4</v>
      </c>
      <c r="H17" s="7" t="s">
        <v>5</v>
      </c>
      <c r="J17" s="6" t="s">
        <v>53</v>
      </c>
      <c r="K17" s="10">
        <v>4</v>
      </c>
    </row>
    <row r="18" spans="1:11" x14ac:dyDescent="0.3">
      <c r="A18" s="7" t="s">
        <v>46</v>
      </c>
      <c r="B18" s="7" t="s">
        <v>54</v>
      </c>
      <c r="C18" s="4" t="s">
        <v>13</v>
      </c>
      <c r="D18" s="4" t="s">
        <v>63</v>
      </c>
      <c r="E18" s="7" t="s">
        <v>25</v>
      </c>
      <c r="F18" s="4" t="s">
        <v>26</v>
      </c>
      <c r="G18" s="4">
        <v>4</v>
      </c>
      <c r="H18" s="7" t="s">
        <v>25</v>
      </c>
      <c r="J18" s="6" t="s">
        <v>54</v>
      </c>
      <c r="K18" s="10">
        <v>4</v>
      </c>
    </row>
    <row r="19" spans="1:11" x14ac:dyDescent="0.3">
      <c r="A19" s="7" t="s">
        <v>47</v>
      </c>
      <c r="B19" s="7" t="s">
        <v>55</v>
      </c>
      <c r="C19" s="4" t="s">
        <v>14</v>
      </c>
      <c r="D19" s="4" t="s">
        <v>63</v>
      </c>
      <c r="E19" s="4" t="s">
        <v>25</v>
      </c>
      <c r="F19" s="4" t="s">
        <v>27</v>
      </c>
      <c r="G19" s="4">
        <v>5</v>
      </c>
      <c r="H19" s="4" t="s">
        <v>25</v>
      </c>
      <c r="J19" s="6" t="s">
        <v>55</v>
      </c>
      <c r="K19" s="10">
        <v>5</v>
      </c>
    </row>
    <row r="20" spans="1:11" x14ac:dyDescent="0.3">
      <c r="A20" s="7" t="s">
        <v>48</v>
      </c>
      <c r="B20" s="7" t="s">
        <v>56</v>
      </c>
      <c r="C20" s="4" t="s">
        <v>14</v>
      </c>
      <c r="D20" s="4" t="s">
        <v>63</v>
      </c>
      <c r="E20" s="4" t="s">
        <v>5</v>
      </c>
      <c r="F20" s="4" t="s">
        <v>27</v>
      </c>
      <c r="G20" s="4">
        <v>5</v>
      </c>
      <c r="H20" s="4" t="s">
        <v>5</v>
      </c>
      <c r="J20" s="6" t="s">
        <v>56</v>
      </c>
      <c r="K20" s="10">
        <v>5</v>
      </c>
    </row>
    <row r="21" spans="1:11" x14ac:dyDescent="0.3">
      <c r="A21" s="7" t="s">
        <v>49</v>
      </c>
      <c r="B21" s="7" t="s">
        <v>57</v>
      </c>
      <c r="C21" s="4" t="s">
        <v>14</v>
      </c>
      <c r="D21" s="4" t="s">
        <v>64</v>
      </c>
      <c r="E21" s="4" t="s">
        <v>5</v>
      </c>
      <c r="F21" s="4" t="s">
        <v>4</v>
      </c>
      <c r="G21" s="4">
        <v>3</v>
      </c>
      <c r="H21" s="4" t="s">
        <v>5</v>
      </c>
      <c r="J21" s="6" t="s">
        <v>57</v>
      </c>
      <c r="K21" s="10">
        <v>3</v>
      </c>
    </row>
    <row r="22" spans="1:11" x14ac:dyDescent="0.3">
      <c r="A22" s="7" t="s">
        <v>50</v>
      </c>
      <c r="B22" s="7" t="s">
        <v>58</v>
      </c>
      <c r="C22" s="4" t="s">
        <v>13</v>
      </c>
      <c r="D22" s="4" t="s">
        <v>64</v>
      </c>
      <c r="E22" s="4" t="s">
        <v>25</v>
      </c>
      <c r="F22" s="4" t="s">
        <v>4</v>
      </c>
      <c r="G22" s="4">
        <v>3</v>
      </c>
      <c r="H22" s="4" t="s">
        <v>25</v>
      </c>
      <c r="J22" s="6" t="s">
        <v>58</v>
      </c>
      <c r="K22" s="10">
        <v>3</v>
      </c>
    </row>
    <row r="23" spans="1:11" x14ac:dyDescent="0.3">
      <c r="A23" s="7" t="s">
        <v>51</v>
      </c>
      <c r="B23" s="7" t="s">
        <v>59</v>
      </c>
      <c r="C23" s="4" t="s">
        <v>13</v>
      </c>
      <c r="D23" s="4" t="s">
        <v>64</v>
      </c>
      <c r="E23" s="4" t="s">
        <v>25</v>
      </c>
      <c r="F23" s="4" t="s">
        <v>26</v>
      </c>
      <c r="G23" s="4">
        <v>4</v>
      </c>
      <c r="H23" s="4" t="s">
        <v>25</v>
      </c>
      <c r="J23" s="6" t="s">
        <v>59</v>
      </c>
      <c r="K23" s="10">
        <v>4</v>
      </c>
    </row>
    <row r="24" spans="1:11" x14ac:dyDescent="0.3">
      <c r="J24" s="3" t="s">
        <v>36</v>
      </c>
      <c r="K24" s="2">
        <v>3.9</v>
      </c>
    </row>
    <row r="25" spans="1:11" ht="25.2" x14ac:dyDescent="0.6">
      <c r="A25" s="15" t="s">
        <v>30</v>
      </c>
      <c r="B25" s="15"/>
      <c r="C25" s="15"/>
      <c r="D25" s="15"/>
      <c r="E25" s="15"/>
      <c r="F25" s="15"/>
    </row>
    <row r="26" spans="1:11" x14ac:dyDescent="0.3">
      <c r="A26" s="13" t="s">
        <v>31</v>
      </c>
      <c r="B26" s="13"/>
      <c r="C26" s="13"/>
      <c r="D26" s="13"/>
      <c r="E26" s="8"/>
      <c r="F26" s="7">
        <f>COUNTIF(E4:E23,"YES")</f>
        <v>11</v>
      </c>
    </row>
    <row r="27" spans="1:11" x14ac:dyDescent="0.3">
      <c r="A27" s="8" t="s">
        <v>32</v>
      </c>
      <c r="B27" s="8"/>
      <c r="C27" s="8"/>
      <c r="D27" s="8"/>
      <c r="E27" s="8"/>
      <c r="F27" s="7">
        <f>COUNTIF(G4:G23,"&gt;=4")</f>
        <v>13</v>
      </c>
    </row>
    <row r="28" spans="1:11" x14ac:dyDescent="0.3">
      <c r="A28" s="16" t="s">
        <v>33</v>
      </c>
      <c r="B28" s="17"/>
      <c r="C28" s="17"/>
      <c r="D28" s="18"/>
      <c r="E28" s="8"/>
      <c r="F28" s="7">
        <f>COUNTIF(H4:H23,"YES")</f>
        <v>13</v>
      </c>
    </row>
    <row r="29" spans="1:11" x14ac:dyDescent="0.3">
      <c r="A29" s="16" t="s">
        <v>34</v>
      </c>
      <c r="B29" s="17"/>
      <c r="C29" s="17"/>
      <c r="D29" s="18"/>
      <c r="E29" s="8"/>
      <c r="F29" s="7">
        <f>COUNTIF(F4:F23,"Frequent")</f>
        <v>6</v>
      </c>
    </row>
    <row r="31" spans="1:11" ht="21" x14ac:dyDescent="0.4">
      <c r="A31" s="11"/>
      <c r="B31" s="11"/>
      <c r="C31" s="11"/>
    </row>
  </sheetData>
  <mergeCells count="5">
    <mergeCell ref="A26:D26"/>
    <mergeCell ref="A2:H2"/>
    <mergeCell ref="A25:F25"/>
    <mergeCell ref="A28:D28"/>
    <mergeCell ref="A29:D29"/>
  </mergeCells>
  <phoneticPr fontId="3" type="noConversion"/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Kartik Kajale</cp:lastModifiedBy>
  <dcterms:created xsi:type="dcterms:W3CDTF">2026-01-27T03:59:10Z</dcterms:created>
  <dcterms:modified xsi:type="dcterms:W3CDTF">2026-02-16T14:33:12Z</dcterms:modified>
</cp:coreProperties>
</file>