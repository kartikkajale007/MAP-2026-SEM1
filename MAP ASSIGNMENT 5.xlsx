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5CD66E0D-8D7F-4576-9121-4E112A0E74CA}" xr6:coauthVersionLast="47" xr6:coauthVersionMax="47" xr10:uidLastSave="{00000000-0000-0000-0000-000000000000}"/>
  <bookViews>
    <workbookView xWindow="-108" yWindow="-108" windowWidth="23256" windowHeight="12456" xr2:uid="{A810355B-6514-4A25-8060-5C1929F346A9}"/>
  </bookViews>
  <sheets>
    <sheet name="Sheet1" sheetId="1" r:id="rId1"/>
  </sheets>
  <calcPr calcId="191028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4" i="1"/>
  <c r="H18" i="1"/>
  <c r="H17" i="1"/>
  <c r="H5" i="1"/>
  <c r="H6" i="1"/>
  <c r="H7" i="1"/>
  <c r="H8" i="1"/>
  <c r="H9" i="1"/>
  <c r="H10" i="1"/>
  <c r="H11" i="1"/>
  <c r="H12" i="1"/>
  <c r="H13" i="1"/>
  <c r="H14" i="1"/>
  <c r="H15" i="1"/>
  <c r="H16" i="1"/>
  <c r="H4" i="1"/>
</calcChain>
</file>

<file path=xl/sharedStrings.xml><?xml version="1.0" encoding="utf-8"?>
<sst xmlns="http://schemas.openxmlformats.org/spreadsheetml/2006/main" count="88" uniqueCount="56">
  <si>
    <t>WAREHOUSE INVENTORY OPTIMIZATION "SMARTSTORE" LTD"</t>
  </si>
  <si>
    <t>Product ID</t>
  </si>
  <si>
    <t>Product Name</t>
  </si>
  <si>
    <t>Category</t>
  </si>
  <si>
    <t>Opening Stock</t>
  </si>
  <si>
    <t>Unit Sold</t>
  </si>
  <si>
    <t>Purchase Cost</t>
  </si>
  <si>
    <t>Reorder Level</t>
  </si>
  <si>
    <t>Closing Stock</t>
  </si>
  <si>
    <t>Inventory Value</t>
  </si>
  <si>
    <t>PRD001</t>
  </si>
  <si>
    <t>PRD002</t>
  </si>
  <si>
    <t>PRD003</t>
  </si>
  <si>
    <t>PRD004</t>
  </si>
  <si>
    <t>PRD005</t>
  </si>
  <si>
    <t>PRD006</t>
  </si>
  <si>
    <t>PRD007</t>
  </si>
  <si>
    <t>PRD008</t>
  </si>
  <si>
    <t>PRD009</t>
  </si>
  <si>
    <t>PRD010</t>
  </si>
  <si>
    <t>PRD011</t>
  </si>
  <si>
    <t>PRD012</t>
  </si>
  <si>
    <t>PRD013</t>
  </si>
  <si>
    <t>PRD014</t>
  </si>
  <si>
    <t>PRD015</t>
  </si>
  <si>
    <t>T-Shirt</t>
  </si>
  <si>
    <t>Jeans</t>
  </si>
  <si>
    <t>TV</t>
  </si>
  <si>
    <t>Laptop</t>
  </si>
  <si>
    <t>Clothing</t>
  </si>
  <si>
    <t>Electronics</t>
  </si>
  <si>
    <t>Shoes</t>
  </si>
  <si>
    <t>FootWear</t>
  </si>
  <si>
    <t>Smartphones</t>
  </si>
  <si>
    <t>Sandals</t>
  </si>
  <si>
    <t>Jacket</t>
  </si>
  <si>
    <t>Microwave Oven</t>
  </si>
  <si>
    <t>Home Appliances</t>
  </si>
  <si>
    <t>Refrigerator</t>
  </si>
  <si>
    <t>Mixer Grinder</t>
  </si>
  <si>
    <t>Washing Machine</t>
  </si>
  <si>
    <t>Furniture</t>
  </si>
  <si>
    <t>Accessories</t>
  </si>
  <si>
    <t>Office Chair</t>
  </si>
  <si>
    <t>Study Table</t>
  </si>
  <si>
    <t>Backpack</t>
  </si>
  <si>
    <t>Stock Status</t>
  </si>
  <si>
    <t>INVENTORY METRICS</t>
  </si>
  <si>
    <t>1. Total Inventory Value</t>
  </si>
  <si>
    <t>2. Average Stock Level</t>
  </si>
  <si>
    <t>3. Number of items before Reorder Level</t>
  </si>
  <si>
    <t>Sum of Opening Stock</t>
  </si>
  <si>
    <t>Sum of Unit Sold</t>
  </si>
  <si>
    <t>Row Labels</t>
  </si>
  <si>
    <t>Grand Total</t>
  </si>
  <si>
    <t>Sum of Inventory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</si>
</sst>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2" borderId="1" applyNumberFormat="0" applyAlignment="0" applyProtection="0"/>
  </cellStyleXfs>
  <cellXfs count="15">
    <xf numFmtId="0" fontId="0" fillId="0" borderId="0" xfId="0"/>
    <xf numFmtId="0" fontId="5" fillId="0" borderId="0" xfId="0" applyFont="1"/>
    <xf numFmtId="0" fontId="0" fillId="0" borderId="2" xfId="0" applyBorder="1"/>
    <xf numFmtId="0" fontId="2" fillId="2" borderId="1" xfId="2"/>
    <xf numFmtId="0" fontId="3" fillId="0" borderId="2" xfId="0" applyFont="1" applyBorder="1"/>
    <xf numFmtId="0" fontId="0" fillId="0" borderId="2" xfId="0" pivotButton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4" fillId="4" borderId="2" xfId="0" applyFont="1" applyFill="1" applyBorder="1"/>
    <xf numFmtId="0" fontId="3" fillId="0" borderId="2" xfId="0" applyFont="1" applyBorder="1" applyAlignment="1">
      <alignment horizontal="left"/>
    </xf>
    <xf numFmtId="0" fontId="8" fillId="3" borderId="2" xfId="2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</cellXfs>
  <cellStyles count="3">
    <cellStyle name="Normal" xfId="0" builtinId="0"/>
    <cellStyle name="Normal 2" xfId="1" xr:uid="{29B001B6-4C53-4FD5-B38E-E58FBBF201AC}"/>
    <cellStyle name="Output" xfId="2" builtinId="21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Stock</a:t>
            </a:r>
            <a:r>
              <a:rPr lang="en-IN" baseline="0"/>
              <a:t> vs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Opening Stock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5"/>
              <c:pt idx="0">
                <c:v>Backpack</c:v>
              </c:pt>
              <c:pt idx="1">
                <c:v>Jacket</c:v>
              </c:pt>
              <c:pt idx="2">
                <c:v>Jeans</c:v>
              </c:pt>
              <c:pt idx="3">
                <c:v>Laptop</c:v>
              </c:pt>
              <c:pt idx="4">
                <c:v>Microwave Oven</c:v>
              </c:pt>
              <c:pt idx="5">
                <c:v>Mixer Grinder</c:v>
              </c:pt>
              <c:pt idx="6">
                <c:v>Office Chair</c:v>
              </c:pt>
              <c:pt idx="7">
                <c:v>Refrigerator</c:v>
              </c:pt>
              <c:pt idx="8">
                <c:v>Sandals</c:v>
              </c:pt>
              <c:pt idx="9">
                <c:v>Shoes</c:v>
              </c:pt>
              <c:pt idx="10">
                <c:v>Smartphones</c:v>
              </c:pt>
              <c:pt idx="11">
                <c:v>Study Table</c:v>
              </c:pt>
              <c:pt idx="12">
                <c:v>T-Shirt</c:v>
              </c:pt>
              <c:pt idx="13">
                <c:v>TV</c:v>
              </c:pt>
              <c:pt idx="14">
                <c:v>Washing Machine</c:v>
              </c:pt>
            </c:strLit>
          </c:cat>
          <c:val>
            <c:numLit>
              <c:formatCode>General</c:formatCode>
              <c:ptCount val="15"/>
              <c:pt idx="0">
                <c:v>70</c:v>
              </c:pt>
              <c:pt idx="1">
                <c:v>50</c:v>
              </c:pt>
              <c:pt idx="2">
                <c:v>80</c:v>
              </c:pt>
              <c:pt idx="3">
                <c:v>60</c:v>
              </c:pt>
              <c:pt idx="4">
                <c:v>60</c:v>
              </c:pt>
              <c:pt idx="5">
                <c:v>25</c:v>
              </c:pt>
              <c:pt idx="6">
                <c:v>35</c:v>
              </c:pt>
              <c:pt idx="7">
                <c:v>70</c:v>
              </c:pt>
              <c:pt idx="8">
                <c:v>40</c:v>
              </c:pt>
              <c:pt idx="9">
                <c:v>90</c:v>
              </c:pt>
              <c:pt idx="10">
                <c:v>65</c:v>
              </c:pt>
              <c:pt idx="11">
                <c:v>80</c:v>
              </c:pt>
              <c:pt idx="12">
                <c:v>100</c:v>
              </c:pt>
              <c:pt idx="13">
                <c:v>30</c:v>
              </c:pt>
              <c:pt idx="14">
                <c:v>35</c:v>
              </c:pt>
            </c:numLit>
          </c:val>
          <c:extLst>
            <c:ext xmlns:c16="http://schemas.microsoft.com/office/drawing/2014/chart" uri="{C3380CC4-5D6E-409C-BE32-E72D297353CC}">
              <c16:uniqueId val="{00000000-A336-49C6-BDAC-EDBE73C2157F}"/>
            </c:ext>
          </c:extLst>
        </c:ser>
        <c:ser>
          <c:idx val="1"/>
          <c:order val="1"/>
          <c:tx>
            <c:v>Sum of Unit Sold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5"/>
              <c:pt idx="0">
                <c:v>Backpack</c:v>
              </c:pt>
              <c:pt idx="1">
                <c:v>Jacket</c:v>
              </c:pt>
              <c:pt idx="2">
                <c:v>Jeans</c:v>
              </c:pt>
              <c:pt idx="3">
                <c:v>Laptop</c:v>
              </c:pt>
              <c:pt idx="4">
                <c:v>Microwave Oven</c:v>
              </c:pt>
              <c:pt idx="5">
                <c:v>Mixer Grinder</c:v>
              </c:pt>
              <c:pt idx="6">
                <c:v>Office Chair</c:v>
              </c:pt>
              <c:pt idx="7">
                <c:v>Refrigerator</c:v>
              </c:pt>
              <c:pt idx="8">
                <c:v>Sandals</c:v>
              </c:pt>
              <c:pt idx="9">
                <c:v>Shoes</c:v>
              </c:pt>
              <c:pt idx="10">
                <c:v>Smartphones</c:v>
              </c:pt>
              <c:pt idx="11">
                <c:v>Study Table</c:v>
              </c:pt>
              <c:pt idx="12">
                <c:v>T-Shirt</c:v>
              </c:pt>
              <c:pt idx="13">
                <c:v>TV</c:v>
              </c:pt>
              <c:pt idx="14">
                <c:v>Washing Machine</c:v>
              </c:pt>
            </c:strLit>
          </c:cat>
          <c:val>
            <c:numLit>
              <c:formatCode>General</c:formatCode>
              <c:ptCount val="15"/>
              <c:pt idx="0">
                <c:v>25</c:v>
              </c:pt>
              <c:pt idx="1">
                <c:v>20</c:v>
              </c:pt>
              <c:pt idx="2">
                <c:v>50</c:v>
              </c:pt>
              <c:pt idx="3">
                <c:v>45</c:v>
              </c:pt>
              <c:pt idx="4">
                <c:v>30</c:v>
              </c:pt>
              <c:pt idx="5">
                <c:v>10</c:v>
              </c:pt>
              <c:pt idx="6">
                <c:v>15</c:v>
              </c:pt>
              <c:pt idx="7">
                <c:v>45</c:v>
              </c:pt>
              <c:pt idx="8">
                <c:v>30</c:v>
              </c:pt>
              <c:pt idx="9">
                <c:v>60</c:v>
              </c:pt>
              <c:pt idx="10">
                <c:v>10</c:v>
              </c:pt>
              <c:pt idx="11">
                <c:v>15</c:v>
              </c:pt>
              <c:pt idx="12">
                <c:v>40</c:v>
              </c:pt>
              <c:pt idx="13">
                <c:v>20</c:v>
              </c:pt>
              <c:pt idx="14">
                <c:v>20</c:v>
              </c:pt>
            </c:numLit>
          </c:val>
          <c:extLst>
            <c:ext xmlns:c16="http://schemas.microsoft.com/office/drawing/2014/chart" uri="{C3380CC4-5D6E-409C-BE32-E72D297353CC}">
              <c16:uniqueId val="{00000001-A336-49C6-BDAC-EDBE73C21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6316592"/>
        <c:axId val="446320432"/>
      </c:barChart>
      <c:catAx>
        <c:axId val="44631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20432"/>
        <c:crosses val="autoZero"/>
        <c:auto val="1"/>
        <c:lblAlgn val="ctr"/>
        <c:lblOffset val="100"/>
        <c:noMultiLvlLbl val="0"/>
      </c:catAx>
      <c:valAx>
        <c:axId val="44632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1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Inventory</a:t>
            </a:r>
            <a:r>
              <a:rPr lang="en-US" baseline="0"/>
              <a:t> Value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4.0125765529308834E-2"/>
              <c:y val="-4.76060804899387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2.3661307961504813E-2"/>
              <c:y val="-8.87904636920384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4821631671041119E-2"/>
              <c:y val="1.48603820355788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7439413823272092E-2"/>
              <c:y val="4.4685039370078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2.2003625446099812E-2"/>
              <c:y val="4.54436424613589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1858048993875741E-2"/>
              <c:y val="-0.117258675998833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4.0125765529308834E-2"/>
              <c:y val="-4.76060804899387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2.3661307961504813E-2"/>
              <c:y val="-8.87904636920384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4821631671041119E-2"/>
              <c:y val="1.48603820355788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7439413823272092E-2"/>
              <c:y val="4.4685039370078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2.2003625446099812E-2"/>
              <c:y val="4.54436424613589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1858048993875741E-2"/>
              <c:y val="-0.117258675998833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4.0125765529308834E-2"/>
              <c:y val="-4.76060804899387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2.3661307961504813E-2"/>
              <c:y val="-8.87904636920384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4821631671041119E-2"/>
              <c:y val="1.48603820355788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7439413823272092E-2"/>
              <c:y val="4.4685039370078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2.2003625446099812E-2"/>
              <c:y val="4.54436424613589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1858048993875741E-2"/>
              <c:y val="-0.117258675998833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E2D-47CB-87F8-44BBB9DC917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E2D-47CB-87F8-44BBB9DC917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E2D-47CB-87F8-44BBB9DC917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E2D-47CB-87F8-44BBB9DC917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AE2D-47CB-87F8-44BBB9DC917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AE2D-47CB-87F8-44BBB9DC9170}"/>
              </c:ext>
            </c:extLst>
          </c:dPt>
          <c:dLbls>
            <c:dLbl>
              <c:idx val="0"/>
              <c:layout>
                <c:manualLayout>
                  <c:x val="-4.0125765529308834E-2"/>
                  <c:y val="-4.760608048993875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2D-47CB-87F8-44BBB9DC9170}"/>
                </c:ext>
              </c:extLst>
            </c:dLbl>
            <c:dLbl>
              <c:idx val="1"/>
              <c:layout>
                <c:manualLayout>
                  <c:x val="-2.3661307961504813E-2"/>
                  <c:y val="-8.879046369203849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2D-47CB-87F8-44BBB9DC9170}"/>
                </c:ext>
              </c:extLst>
            </c:dLbl>
            <c:dLbl>
              <c:idx val="2"/>
              <c:layout>
                <c:manualLayout>
                  <c:x val="2.4821631671041119E-2"/>
                  <c:y val="1.486038203557888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2D-47CB-87F8-44BBB9DC9170}"/>
                </c:ext>
              </c:extLst>
            </c:dLbl>
            <c:dLbl>
              <c:idx val="3"/>
              <c:layout>
                <c:manualLayout>
                  <c:x val="2.7439413823272092E-2"/>
                  <c:y val="4.468503937007874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2D-47CB-87F8-44BBB9DC9170}"/>
                </c:ext>
              </c:extLst>
            </c:dLbl>
            <c:dLbl>
              <c:idx val="4"/>
              <c:layout>
                <c:manualLayout>
                  <c:x val="-2.2003625446099812E-2"/>
                  <c:y val="4.544364246135899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2D-47CB-87F8-44BBB9DC9170}"/>
                </c:ext>
              </c:extLst>
            </c:dLbl>
            <c:dLbl>
              <c:idx val="5"/>
              <c:layout>
                <c:manualLayout>
                  <c:x val="4.1858048993875741E-2"/>
                  <c:y val="-0.1172586759988334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2D-47CB-87F8-44BBB9DC91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Accessories</c:v>
              </c:pt>
              <c:pt idx="1">
                <c:v>Clothing</c:v>
              </c:pt>
              <c:pt idx="2">
                <c:v>Electronics</c:v>
              </c:pt>
              <c:pt idx="3">
                <c:v>FootWear</c:v>
              </c:pt>
              <c:pt idx="4">
                <c:v>Furniture</c:v>
              </c:pt>
              <c:pt idx="5">
                <c:v>Home Appliances</c:v>
              </c:pt>
            </c:strLit>
          </c:cat>
          <c:val>
            <c:numLit>
              <c:formatCode>General</c:formatCode>
              <c:ptCount val="6"/>
              <c:pt idx="0">
                <c:v>1035000</c:v>
              </c:pt>
              <c:pt idx="1">
                <c:v>4080000</c:v>
              </c:pt>
              <c:pt idx="2">
                <c:v>3297500</c:v>
              </c:pt>
              <c:pt idx="3">
                <c:v>1400000</c:v>
              </c:pt>
              <c:pt idx="4">
                <c:v>4382500</c:v>
              </c:pt>
              <c:pt idx="5">
                <c:v>2492500</c:v>
              </c:pt>
            </c:numLit>
          </c:val>
          <c:extLst>
            <c:ext xmlns:c16="http://schemas.microsoft.com/office/drawing/2014/chart" uri="{C3380CC4-5D6E-409C-BE32-E72D297353CC}">
              <c16:uniqueId val="{0000000C-AE2D-47CB-87F8-44BBB9DC917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24</xdr:row>
      <xdr:rowOff>0</xdr:rowOff>
    </xdr:from>
    <xdr:to>
      <xdr:col>5</xdr:col>
      <xdr:colOff>373380</xdr:colOff>
      <xdr:row>38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BC43A2-E0C3-43C0-A370-1963EA3E5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655320</xdr:colOff>
      <xdr:row>20</xdr:row>
      <xdr:rowOff>114300</xdr:rowOff>
    </xdr:from>
    <xdr:to>
      <xdr:col>11</xdr:col>
      <xdr:colOff>320040</xdr:colOff>
      <xdr:row>39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C2A444-E0E8-41F7-9A35-74AA524F7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8.749274884256" createdVersion="8" refreshedVersion="8" minRefreshableVersion="3" recordCount="15" xr:uid="{8F86F95C-28CC-4458-8259-9FF9EA02B407}">
  <cacheSource type="worksheet">
    <worksheetSource ref="A3:J18" sheet="Sheet1"/>
  </cacheSource>
  <cacheFields count="10">
    <cacheField name="Product ID" numFmtId="0">
      <sharedItems/>
    </cacheField>
    <cacheField name="Product Name" numFmtId="0">
      <sharedItems count="15">
        <s v="T-Shirt"/>
        <s v="Jeans"/>
        <s v="Jacket"/>
        <s v="Sandals"/>
        <s v="Shoes"/>
        <s v="Refrigerator"/>
        <s v="Microwave Oven"/>
        <s v="Mixer Grinder"/>
        <s v="Washing Machine"/>
        <s v="TV"/>
        <s v="Laptop"/>
        <s v="Smartphones"/>
        <s v="Office Chair"/>
        <s v="Study Table"/>
        <s v="Backpack"/>
      </sharedItems>
    </cacheField>
    <cacheField name="Category" numFmtId="0">
      <sharedItems count="6">
        <s v="Clothing"/>
        <s v="FootWear"/>
        <s v="Home Appliances"/>
        <s v="Electronics"/>
        <s v="Furniture"/>
        <s v="Accessories"/>
      </sharedItems>
    </cacheField>
    <cacheField name="Opening Stock" numFmtId="0">
      <sharedItems containsSemiMixedTypes="0" containsString="0" containsNumber="1" containsInteger="1" minValue="25" maxValue="100"/>
    </cacheField>
    <cacheField name="Unit Sold" numFmtId="0">
      <sharedItems containsSemiMixedTypes="0" containsString="0" containsNumber="1" containsInteger="1" minValue="10" maxValue="60"/>
    </cacheField>
    <cacheField name="Purchase Cost" numFmtId="0">
      <sharedItems containsSemiMixedTypes="0" containsString="0" containsNumber="1" containsInteger="1" minValue="12000" maxValue="75000"/>
    </cacheField>
    <cacheField name="Reorder Level" numFmtId="0">
      <sharedItems containsSemiMixedTypes="0" containsString="0" containsNumber="1" containsInteger="1" minValue="4" maxValue="30"/>
    </cacheField>
    <cacheField name="Closing Stock" numFmtId="0">
      <sharedItems containsSemiMixedTypes="0" containsString="0" containsNumber="1" containsInteger="1" minValue="10" maxValue="65"/>
    </cacheField>
    <cacheField name="Inventory Value" numFmtId="0">
      <sharedItems containsSemiMixedTypes="0" containsString="0" containsNumber="1" containsInteger="1" minValue="180000" maxValue="3022500" count="15">
        <n v="750000"/>
        <n v="1080000"/>
        <n v="2250000"/>
        <n v="200000"/>
        <n v="1200000"/>
        <n v="437500"/>
        <n v="1500000"/>
        <n v="180000"/>
        <n v="375000"/>
        <n v="650000"/>
        <n v="337500"/>
        <n v="2310000"/>
        <n v="1360000"/>
        <n v="3022500"/>
        <n v="1035000"/>
      </sharedItems>
    </cacheField>
    <cacheField name="Stock Status" numFmtId="0">
      <sharedItems count="2">
        <s v="Sufficient"/>
        <s v="Reorder Requir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PRD001"/>
    <x v="0"/>
    <x v="0"/>
    <n v="100"/>
    <n v="40"/>
    <n v="12500"/>
    <n v="25"/>
    <n v="60"/>
    <x v="0"/>
    <x v="0"/>
  </r>
  <r>
    <s v="PRD002"/>
    <x v="1"/>
    <x v="0"/>
    <n v="80"/>
    <n v="50"/>
    <n v="36000"/>
    <n v="20"/>
    <n v="30"/>
    <x v="1"/>
    <x v="0"/>
  </r>
  <r>
    <s v="PRD003"/>
    <x v="2"/>
    <x v="0"/>
    <n v="50"/>
    <n v="20"/>
    <n v="75000"/>
    <n v="15"/>
    <n v="30"/>
    <x v="2"/>
    <x v="0"/>
  </r>
  <r>
    <s v="PRD004"/>
    <x v="3"/>
    <x v="1"/>
    <n v="40"/>
    <n v="30"/>
    <n v="20000"/>
    <n v="10"/>
    <n v="10"/>
    <x v="3"/>
    <x v="1"/>
  </r>
  <r>
    <s v="PRD005"/>
    <x v="4"/>
    <x v="1"/>
    <n v="90"/>
    <n v="60"/>
    <n v="40000"/>
    <n v="8"/>
    <n v="30"/>
    <x v="4"/>
    <x v="0"/>
  </r>
  <r>
    <s v="PRD006"/>
    <x v="5"/>
    <x v="2"/>
    <n v="70"/>
    <n v="45"/>
    <n v="17500"/>
    <n v="12"/>
    <n v="25"/>
    <x v="5"/>
    <x v="0"/>
  </r>
  <r>
    <s v="PRD007"/>
    <x v="6"/>
    <x v="2"/>
    <n v="60"/>
    <n v="30"/>
    <n v="50000"/>
    <n v="6"/>
    <n v="30"/>
    <x v="6"/>
    <x v="0"/>
  </r>
  <r>
    <s v="PRD008"/>
    <x v="7"/>
    <x v="2"/>
    <n v="25"/>
    <n v="10"/>
    <n v="12000"/>
    <n v="7"/>
    <n v="15"/>
    <x v="7"/>
    <x v="0"/>
  </r>
  <r>
    <s v="PRD009"/>
    <x v="8"/>
    <x v="2"/>
    <n v="35"/>
    <n v="20"/>
    <n v="25000"/>
    <n v="10"/>
    <n v="15"/>
    <x v="8"/>
    <x v="0"/>
  </r>
  <r>
    <s v="PRD010"/>
    <x v="9"/>
    <x v="3"/>
    <n v="30"/>
    <n v="20"/>
    <n v="65000"/>
    <n v="15"/>
    <n v="10"/>
    <x v="9"/>
    <x v="1"/>
  </r>
  <r>
    <s v="PRD011"/>
    <x v="10"/>
    <x v="3"/>
    <n v="60"/>
    <n v="45"/>
    <n v="22500"/>
    <n v="30"/>
    <n v="15"/>
    <x v="10"/>
    <x v="1"/>
  </r>
  <r>
    <s v="PRD012"/>
    <x v="11"/>
    <x v="3"/>
    <n v="65"/>
    <n v="10"/>
    <n v="42000"/>
    <n v="20"/>
    <n v="55"/>
    <x v="11"/>
    <x v="0"/>
  </r>
  <r>
    <s v="PRD013"/>
    <x v="12"/>
    <x v="4"/>
    <n v="35"/>
    <n v="15"/>
    <n v="68000"/>
    <n v="5"/>
    <n v="20"/>
    <x v="12"/>
    <x v="0"/>
  </r>
  <r>
    <s v="PRD014"/>
    <x v="13"/>
    <x v="4"/>
    <n v="80"/>
    <n v="15"/>
    <n v="46500"/>
    <n v="4"/>
    <n v="65"/>
    <x v="13"/>
    <x v="0"/>
  </r>
  <r>
    <s v="PRD015"/>
    <x v="14"/>
    <x v="5"/>
    <n v="70"/>
    <n v="25"/>
    <n v="23000"/>
    <n v="18"/>
    <n v="45"/>
    <x v="1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3B2C8-E907-4591-B3AD-53A848C4A65E}" name="PivotTable1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L3:N19" firstHeaderRow="0" firstDataRow="1" firstDataCol="1"/>
  <pivotFields count="10">
    <pivotField showAll="0"/>
    <pivotField axis="axisRow" showAll="0">
      <items count="16">
        <item x="14"/>
        <item x="2"/>
        <item x="1"/>
        <item x="10"/>
        <item x="6"/>
        <item x="7"/>
        <item x="12"/>
        <item x="5"/>
        <item x="3"/>
        <item x="4"/>
        <item x="11"/>
        <item x="13"/>
        <item x="0"/>
        <item x="9"/>
        <item x="8"/>
        <item t="default"/>
      </items>
    </pivotField>
    <pivotField showAll="0">
      <items count="7">
        <item x="5"/>
        <item x="0"/>
        <item x="3"/>
        <item x="1"/>
        <item x="4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>
      <items count="3">
        <item h="1" x="1"/>
        <item x="0"/>
        <item t="default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pening Stock" fld="3" baseField="0" baseItem="0"/>
    <dataField name="Sum of Unit Sold" fld="4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grandRow="1" outline="0" fieldPosition="0"/>
    </format>
    <format dxfId="4">
      <pivotArea dataOnly="0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D75CB-0ED4-43F4-8CF5-090E19E09B7F}" name="PivotTable1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21:N28" firstHeaderRow="1" firstDataRow="1" firstDataCol="1"/>
  <pivotFields count="10">
    <pivotField showAll="0"/>
    <pivotField showAll="0"/>
    <pivotField axis="axisRow" showAll="0">
      <items count="7">
        <item x="5"/>
        <item x="0"/>
        <item x="3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Inventory Value" fld="8" baseField="0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dataOnly="0" fieldPosition="0">
        <references count="1">
          <reference field="2" count="0"/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2E01-BA04-48C2-858C-D49859A50CCE}">
  <dimension ref="A2:N28"/>
  <sheetViews>
    <sheetView tabSelected="1" topLeftCell="A15" workbookViewId="0">
      <selection activeCell="J19" sqref="J19"/>
    </sheetView>
  </sheetViews>
  <sheetFormatPr defaultRowHeight="14.4" x14ac:dyDescent="0.3"/>
  <cols>
    <col min="1" max="1" width="9.6640625" customWidth="1"/>
    <col min="2" max="2" width="15.44140625" customWidth="1"/>
    <col min="3" max="3" width="15.77734375" customWidth="1"/>
    <col min="4" max="4" width="12" customWidth="1"/>
    <col min="5" max="5" width="9.33203125" customWidth="1"/>
    <col min="6" max="6" width="12.6640625" customWidth="1"/>
    <col min="7" max="7" width="12.33203125" customWidth="1"/>
    <col min="8" max="8" width="11.6640625" bestFit="1" customWidth="1"/>
    <col min="9" max="9" width="13.21875" customWidth="1"/>
    <col min="10" max="10" width="16.44140625" customWidth="1"/>
    <col min="12" max="12" width="13.77734375" customWidth="1"/>
    <col min="13" max="13" width="19.5546875" customWidth="1"/>
    <col min="14" max="14" width="20.109375" customWidth="1"/>
  </cols>
  <sheetData>
    <row r="2" spans="1:14" ht="25.8" x14ac:dyDescent="0.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"/>
      <c r="L2" s="1"/>
    </row>
    <row r="3" spans="1:14" x14ac:dyDescent="0.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46</v>
      </c>
      <c r="L3" s="5" t="s">
        <v>53</v>
      </c>
      <c r="M3" s="5" t="s">
        <v>51</v>
      </c>
      <c r="N3" s="2" t="s">
        <v>52</v>
      </c>
    </row>
    <row r="4" spans="1:14" x14ac:dyDescent="0.3">
      <c r="A4" s="3" t="s">
        <v>10</v>
      </c>
      <c r="B4" s="3" t="s">
        <v>25</v>
      </c>
      <c r="C4" s="3" t="s">
        <v>29</v>
      </c>
      <c r="D4" s="3">
        <v>100</v>
      </c>
      <c r="E4" s="3">
        <v>40</v>
      </c>
      <c r="F4" s="3">
        <v>12500</v>
      </c>
      <c r="G4" s="3">
        <v>25</v>
      </c>
      <c r="H4" s="3">
        <f>D4-E4</f>
        <v>60</v>
      </c>
      <c r="I4" s="3">
        <f>H4*F4</f>
        <v>750000</v>
      </c>
      <c r="J4" s="3" t="str">
        <f>IF(H4&lt;=G4,"Reorder Required","Sufficient")</f>
        <v>Sufficient</v>
      </c>
      <c r="L4" s="9" t="s">
        <v>45</v>
      </c>
      <c r="M4" s="9">
        <v>70</v>
      </c>
      <c r="N4" s="9">
        <v>25</v>
      </c>
    </row>
    <row r="5" spans="1:14" x14ac:dyDescent="0.3">
      <c r="A5" s="3" t="s">
        <v>11</v>
      </c>
      <c r="B5" s="3" t="s">
        <v>26</v>
      </c>
      <c r="C5" s="3" t="s">
        <v>29</v>
      </c>
      <c r="D5" s="3">
        <v>80</v>
      </c>
      <c r="E5" s="3">
        <v>50</v>
      </c>
      <c r="F5" s="3">
        <v>36000</v>
      </c>
      <c r="G5" s="3">
        <v>20</v>
      </c>
      <c r="H5" s="3">
        <f t="shared" ref="H5:H18" si="0">D5-E5</f>
        <v>30</v>
      </c>
      <c r="I5" s="3">
        <f t="shared" ref="I5:I18" si="1">H5*F5</f>
        <v>1080000</v>
      </c>
      <c r="J5" s="3" t="str">
        <f t="shared" ref="J5:J18" si="2">IF(H5&lt;=G5,"Reorder Required","Sufficient")</f>
        <v>Sufficient</v>
      </c>
      <c r="L5" s="9" t="s">
        <v>35</v>
      </c>
      <c r="M5" s="9">
        <v>50</v>
      </c>
      <c r="N5" s="9">
        <v>20</v>
      </c>
    </row>
    <row r="6" spans="1:14" x14ac:dyDescent="0.3">
      <c r="A6" s="3" t="s">
        <v>12</v>
      </c>
      <c r="B6" s="3" t="s">
        <v>35</v>
      </c>
      <c r="C6" s="3" t="s">
        <v>29</v>
      </c>
      <c r="D6" s="3">
        <v>50</v>
      </c>
      <c r="E6" s="3">
        <v>20</v>
      </c>
      <c r="F6" s="3">
        <v>75000</v>
      </c>
      <c r="G6" s="3">
        <v>15</v>
      </c>
      <c r="H6" s="3">
        <f t="shared" si="0"/>
        <v>30</v>
      </c>
      <c r="I6" s="3">
        <f t="shared" si="1"/>
        <v>2250000</v>
      </c>
      <c r="J6" s="3" t="str">
        <f t="shared" si="2"/>
        <v>Sufficient</v>
      </c>
      <c r="L6" s="9" t="s">
        <v>26</v>
      </c>
      <c r="M6" s="9">
        <v>80</v>
      </c>
      <c r="N6" s="9">
        <v>50</v>
      </c>
    </row>
    <row r="7" spans="1:14" x14ac:dyDescent="0.3">
      <c r="A7" s="3" t="s">
        <v>13</v>
      </c>
      <c r="B7" s="3" t="s">
        <v>34</v>
      </c>
      <c r="C7" s="3" t="s">
        <v>32</v>
      </c>
      <c r="D7" s="3">
        <v>40</v>
      </c>
      <c r="E7" s="3">
        <v>30</v>
      </c>
      <c r="F7" s="3">
        <v>20000</v>
      </c>
      <c r="G7" s="3">
        <v>10</v>
      </c>
      <c r="H7" s="3">
        <f t="shared" si="0"/>
        <v>10</v>
      </c>
      <c r="I7" s="3">
        <f t="shared" si="1"/>
        <v>200000</v>
      </c>
      <c r="J7" s="3" t="str">
        <f t="shared" si="2"/>
        <v>Reorder Required</v>
      </c>
      <c r="L7" s="9" t="s">
        <v>28</v>
      </c>
      <c r="M7" s="9">
        <v>60</v>
      </c>
      <c r="N7" s="9">
        <v>45</v>
      </c>
    </row>
    <row r="8" spans="1:14" x14ac:dyDescent="0.3">
      <c r="A8" s="3" t="s">
        <v>14</v>
      </c>
      <c r="B8" s="3" t="s">
        <v>31</v>
      </c>
      <c r="C8" s="3" t="s">
        <v>32</v>
      </c>
      <c r="D8" s="3">
        <v>90</v>
      </c>
      <c r="E8" s="3">
        <v>60</v>
      </c>
      <c r="F8" s="3">
        <v>40000</v>
      </c>
      <c r="G8" s="3">
        <v>8</v>
      </c>
      <c r="H8" s="3">
        <f t="shared" si="0"/>
        <v>30</v>
      </c>
      <c r="I8" s="3">
        <f t="shared" si="1"/>
        <v>1200000</v>
      </c>
      <c r="J8" s="3" t="str">
        <f t="shared" si="2"/>
        <v>Sufficient</v>
      </c>
      <c r="L8" s="9" t="s">
        <v>36</v>
      </c>
      <c r="M8" s="9">
        <v>60</v>
      </c>
      <c r="N8" s="9">
        <v>30</v>
      </c>
    </row>
    <row r="9" spans="1:14" x14ac:dyDescent="0.3">
      <c r="A9" s="3" t="s">
        <v>15</v>
      </c>
      <c r="B9" s="3" t="s">
        <v>38</v>
      </c>
      <c r="C9" s="3" t="s">
        <v>37</v>
      </c>
      <c r="D9" s="3">
        <v>70</v>
      </c>
      <c r="E9" s="3">
        <v>45</v>
      </c>
      <c r="F9" s="3">
        <v>17500</v>
      </c>
      <c r="G9" s="3">
        <v>12</v>
      </c>
      <c r="H9" s="3">
        <f t="shared" si="0"/>
        <v>25</v>
      </c>
      <c r="I9" s="3">
        <f t="shared" si="1"/>
        <v>437500</v>
      </c>
      <c r="J9" s="3" t="str">
        <f t="shared" si="2"/>
        <v>Sufficient</v>
      </c>
      <c r="L9" s="9" t="s">
        <v>39</v>
      </c>
      <c r="M9" s="9">
        <v>25</v>
      </c>
      <c r="N9" s="9">
        <v>10</v>
      </c>
    </row>
    <row r="10" spans="1:14" x14ac:dyDescent="0.3">
      <c r="A10" s="3" t="s">
        <v>16</v>
      </c>
      <c r="B10" s="3" t="s">
        <v>36</v>
      </c>
      <c r="C10" s="3" t="s">
        <v>37</v>
      </c>
      <c r="D10" s="3">
        <v>60</v>
      </c>
      <c r="E10" s="3">
        <v>30</v>
      </c>
      <c r="F10" s="3">
        <v>50000</v>
      </c>
      <c r="G10" s="3">
        <v>6</v>
      </c>
      <c r="H10" s="3">
        <f t="shared" si="0"/>
        <v>30</v>
      </c>
      <c r="I10" s="3">
        <f t="shared" si="1"/>
        <v>1500000</v>
      </c>
      <c r="J10" s="3" t="str">
        <f t="shared" si="2"/>
        <v>Sufficient</v>
      </c>
      <c r="L10" s="9" t="s">
        <v>43</v>
      </c>
      <c r="M10" s="9">
        <v>35</v>
      </c>
      <c r="N10" s="9">
        <v>15</v>
      </c>
    </row>
    <row r="11" spans="1:14" x14ac:dyDescent="0.3">
      <c r="A11" s="3" t="s">
        <v>17</v>
      </c>
      <c r="B11" s="3" t="s">
        <v>39</v>
      </c>
      <c r="C11" s="3" t="s">
        <v>37</v>
      </c>
      <c r="D11" s="3">
        <v>25</v>
      </c>
      <c r="E11" s="3">
        <v>10</v>
      </c>
      <c r="F11" s="3">
        <v>12000</v>
      </c>
      <c r="G11" s="3">
        <v>7</v>
      </c>
      <c r="H11" s="3">
        <f t="shared" si="0"/>
        <v>15</v>
      </c>
      <c r="I11" s="3">
        <f t="shared" si="1"/>
        <v>180000</v>
      </c>
      <c r="J11" s="3" t="str">
        <f t="shared" si="2"/>
        <v>Sufficient</v>
      </c>
      <c r="L11" s="9" t="s">
        <v>38</v>
      </c>
      <c r="M11" s="9">
        <v>70</v>
      </c>
      <c r="N11" s="9">
        <v>45</v>
      </c>
    </row>
    <row r="12" spans="1:14" x14ac:dyDescent="0.3">
      <c r="A12" s="3" t="s">
        <v>18</v>
      </c>
      <c r="B12" s="3" t="s">
        <v>40</v>
      </c>
      <c r="C12" s="3" t="s">
        <v>37</v>
      </c>
      <c r="D12" s="3">
        <v>35</v>
      </c>
      <c r="E12" s="3">
        <v>20</v>
      </c>
      <c r="F12" s="3">
        <v>25000</v>
      </c>
      <c r="G12" s="3">
        <v>10</v>
      </c>
      <c r="H12" s="3">
        <f t="shared" si="0"/>
        <v>15</v>
      </c>
      <c r="I12" s="3">
        <f t="shared" si="1"/>
        <v>375000</v>
      </c>
      <c r="J12" s="3" t="str">
        <f t="shared" si="2"/>
        <v>Sufficient</v>
      </c>
      <c r="L12" s="9" t="s">
        <v>34</v>
      </c>
      <c r="M12" s="9">
        <v>40</v>
      </c>
      <c r="N12" s="9">
        <v>30</v>
      </c>
    </row>
    <row r="13" spans="1:14" x14ac:dyDescent="0.3">
      <c r="A13" s="3" t="s">
        <v>19</v>
      </c>
      <c r="B13" s="3" t="s">
        <v>27</v>
      </c>
      <c r="C13" s="3" t="s">
        <v>30</v>
      </c>
      <c r="D13" s="3">
        <v>30</v>
      </c>
      <c r="E13" s="3">
        <v>20</v>
      </c>
      <c r="F13" s="3">
        <v>65000</v>
      </c>
      <c r="G13" s="3">
        <v>15</v>
      </c>
      <c r="H13" s="3">
        <f t="shared" si="0"/>
        <v>10</v>
      </c>
      <c r="I13" s="3">
        <f t="shared" si="1"/>
        <v>650000</v>
      </c>
      <c r="J13" s="3" t="str">
        <f t="shared" si="2"/>
        <v>Reorder Required</v>
      </c>
      <c r="L13" s="9" t="s">
        <v>31</v>
      </c>
      <c r="M13" s="9">
        <v>90</v>
      </c>
      <c r="N13" s="9">
        <v>60</v>
      </c>
    </row>
    <row r="14" spans="1:14" x14ac:dyDescent="0.3">
      <c r="A14" s="3" t="s">
        <v>20</v>
      </c>
      <c r="B14" s="3" t="s">
        <v>28</v>
      </c>
      <c r="C14" s="3" t="s">
        <v>30</v>
      </c>
      <c r="D14" s="3">
        <v>60</v>
      </c>
      <c r="E14" s="3">
        <v>45</v>
      </c>
      <c r="F14" s="3">
        <v>22500</v>
      </c>
      <c r="G14" s="3">
        <v>30</v>
      </c>
      <c r="H14" s="3">
        <f t="shared" si="0"/>
        <v>15</v>
      </c>
      <c r="I14" s="3">
        <f t="shared" si="1"/>
        <v>337500</v>
      </c>
      <c r="J14" s="3" t="str">
        <f t="shared" si="2"/>
        <v>Reorder Required</v>
      </c>
      <c r="L14" s="9" t="s">
        <v>33</v>
      </c>
      <c r="M14" s="9">
        <v>65</v>
      </c>
      <c r="N14" s="9">
        <v>10</v>
      </c>
    </row>
    <row r="15" spans="1:14" x14ac:dyDescent="0.3">
      <c r="A15" s="3" t="s">
        <v>21</v>
      </c>
      <c r="B15" s="3" t="s">
        <v>33</v>
      </c>
      <c r="C15" s="3" t="s">
        <v>30</v>
      </c>
      <c r="D15" s="3">
        <v>65</v>
      </c>
      <c r="E15" s="3">
        <v>10</v>
      </c>
      <c r="F15" s="3">
        <v>42000</v>
      </c>
      <c r="G15" s="3">
        <v>20</v>
      </c>
      <c r="H15" s="3">
        <f t="shared" si="0"/>
        <v>55</v>
      </c>
      <c r="I15" s="3">
        <f t="shared" si="1"/>
        <v>2310000</v>
      </c>
      <c r="J15" s="3" t="str">
        <f t="shared" si="2"/>
        <v>Sufficient</v>
      </c>
      <c r="L15" s="9" t="s">
        <v>44</v>
      </c>
      <c r="M15" s="9">
        <v>80</v>
      </c>
      <c r="N15" s="9">
        <v>15</v>
      </c>
    </row>
    <row r="16" spans="1:14" x14ac:dyDescent="0.3">
      <c r="A16" s="3" t="s">
        <v>22</v>
      </c>
      <c r="B16" s="3" t="s">
        <v>43</v>
      </c>
      <c r="C16" s="3" t="s">
        <v>41</v>
      </c>
      <c r="D16" s="3">
        <v>35</v>
      </c>
      <c r="E16" s="3">
        <v>15</v>
      </c>
      <c r="F16" s="3">
        <v>68000</v>
      </c>
      <c r="G16" s="3">
        <v>5</v>
      </c>
      <c r="H16" s="3">
        <f t="shared" si="0"/>
        <v>20</v>
      </c>
      <c r="I16" s="3">
        <f t="shared" si="1"/>
        <v>1360000</v>
      </c>
      <c r="J16" s="3" t="str">
        <f t="shared" si="2"/>
        <v>Sufficient</v>
      </c>
      <c r="L16" s="9" t="s">
        <v>25</v>
      </c>
      <c r="M16" s="9">
        <v>100</v>
      </c>
      <c r="N16" s="9">
        <v>40</v>
      </c>
    </row>
    <row r="17" spans="1:14" x14ac:dyDescent="0.3">
      <c r="A17" s="3" t="s">
        <v>23</v>
      </c>
      <c r="B17" s="3" t="s">
        <v>44</v>
      </c>
      <c r="C17" s="3" t="s">
        <v>41</v>
      </c>
      <c r="D17" s="3">
        <v>80</v>
      </c>
      <c r="E17" s="3">
        <v>15</v>
      </c>
      <c r="F17" s="3">
        <v>46500</v>
      </c>
      <c r="G17" s="3">
        <v>4</v>
      </c>
      <c r="H17" s="3">
        <f t="shared" si="0"/>
        <v>65</v>
      </c>
      <c r="I17" s="3">
        <f t="shared" si="1"/>
        <v>3022500</v>
      </c>
      <c r="J17" s="3" t="str">
        <f t="shared" si="2"/>
        <v>Sufficient</v>
      </c>
      <c r="L17" s="9" t="s">
        <v>27</v>
      </c>
      <c r="M17" s="9">
        <v>30</v>
      </c>
      <c r="N17" s="9">
        <v>20</v>
      </c>
    </row>
    <row r="18" spans="1:14" x14ac:dyDescent="0.3">
      <c r="A18" s="3" t="s">
        <v>24</v>
      </c>
      <c r="B18" s="3" t="s">
        <v>45</v>
      </c>
      <c r="C18" s="3" t="s">
        <v>42</v>
      </c>
      <c r="D18" s="3">
        <v>70</v>
      </c>
      <c r="E18" s="3">
        <v>25</v>
      </c>
      <c r="F18" s="3">
        <v>23000</v>
      </c>
      <c r="G18" s="3">
        <v>18</v>
      </c>
      <c r="H18" s="3">
        <f t="shared" si="0"/>
        <v>45</v>
      </c>
      <c r="I18" s="3">
        <f t="shared" si="1"/>
        <v>1035000</v>
      </c>
      <c r="J18" s="3" t="str">
        <f t="shared" si="2"/>
        <v>Sufficient</v>
      </c>
      <c r="L18" s="9" t="s">
        <v>40</v>
      </c>
      <c r="M18" s="9">
        <v>35</v>
      </c>
      <c r="N18" s="9">
        <v>20</v>
      </c>
    </row>
    <row r="19" spans="1:14" x14ac:dyDescent="0.3">
      <c r="L19" s="7" t="s">
        <v>54</v>
      </c>
      <c r="M19" s="8">
        <v>890</v>
      </c>
      <c r="N19" s="8">
        <v>435</v>
      </c>
    </row>
    <row r="20" spans="1:14" ht="18" x14ac:dyDescent="0.35">
      <c r="A20" s="13" t="s">
        <v>47</v>
      </c>
      <c r="B20" s="13"/>
      <c r="C20" s="13"/>
      <c r="D20" s="13"/>
    </row>
    <row r="21" spans="1:14" x14ac:dyDescent="0.3">
      <c r="A21" s="12" t="s">
        <v>48</v>
      </c>
      <c r="B21" s="12"/>
      <c r="C21" s="12"/>
      <c r="D21" s="4">
        <f>SUM(I4:I18)</f>
        <v>16687500</v>
      </c>
      <c r="M21" s="5" t="s">
        <v>53</v>
      </c>
      <c r="N21" s="2" t="s">
        <v>55</v>
      </c>
    </row>
    <row r="22" spans="1:14" x14ac:dyDescent="0.3">
      <c r="A22" s="12" t="s">
        <v>49</v>
      </c>
      <c r="B22" s="12"/>
      <c r="C22" s="12"/>
      <c r="D22" s="4">
        <f>AVERAGE(H4:H18)</f>
        <v>30.333333333333332</v>
      </c>
      <c r="M22" s="10" t="s">
        <v>42</v>
      </c>
      <c r="N22" s="9">
        <v>1035000</v>
      </c>
    </row>
    <row r="23" spans="1:14" x14ac:dyDescent="0.3">
      <c r="A23" s="12" t="s">
        <v>50</v>
      </c>
      <c r="B23" s="12"/>
      <c r="C23" s="12"/>
      <c r="D23" s="4">
        <f>COUNTIF(J4:J18,"Reorder Required")</f>
        <v>3</v>
      </c>
      <c r="M23" s="10" t="s">
        <v>29</v>
      </c>
      <c r="N23" s="9">
        <v>4080000</v>
      </c>
    </row>
    <row r="24" spans="1:14" x14ac:dyDescent="0.3">
      <c r="M24" s="10" t="s">
        <v>30</v>
      </c>
      <c r="N24" s="9">
        <v>3297500</v>
      </c>
    </row>
    <row r="25" spans="1:14" x14ac:dyDescent="0.3">
      <c r="M25" s="10" t="s">
        <v>32</v>
      </c>
      <c r="N25" s="9">
        <v>1400000</v>
      </c>
    </row>
    <row r="26" spans="1:14" x14ac:dyDescent="0.3">
      <c r="M26" s="10" t="s">
        <v>41</v>
      </c>
      <c r="N26" s="9">
        <v>4382500</v>
      </c>
    </row>
    <row r="27" spans="1:14" x14ac:dyDescent="0.3">
      <c r="M27" s="10" t="s">
        <v>37</v>
      </c>
      <c r="N27" s="9">
        <v>2492500</v>
      </c>
    </row>
    <row r="28" spans="1:14" x14ac:dyDescent="0.3">
      <c r="M28" s="6" t="s">
        <v>54</v>
      </c>
      <c r="N28" s="2">
        <v>16687500</v>
      </c>
    </row>
  </sheetData>
  <mergeCells count="5">
    <mergeCell ref="A23:C23"/>
    <mergeCell ref="A22:C22"/>
    <mergeCell ref="A20:D20"/>
    <mergeCell ref="A2:J2"/>
    <mergeCell ref="A21:C21"/>
  </mergeCells>
  <phoneticPr fontId="6" type="noConversion"/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Kartik Kajale</dc:creator>
  <cp:keywords/>
  <dc:description/>
  <cp:lastModifiedBy>Kartik Kajale</cp:lastModifiedBy>
  <cp:revision/>
  <dcterms:created xsi:type="dcterms:W3CDTF">2026-02-10T12:23:31Z</dcterms:created>
  <dcterms:modified xsi:type="dcterms:W3CDTF">2026-02-16T14:29:47Z</dcterms:modified>
  <cp:category/>
  <cp:contentStatus/>
</cp:coreProperties>
</file>