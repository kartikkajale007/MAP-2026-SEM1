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BB6E565B-DF46-4D0A-940C-5BB84B8AFB1B}" xr6:coauthVersionLast="47" xr6:coauthVersionMax="47" xr10:uidLastSave="{00000000-0000-0000-0000-000000000000}"/>
  <bookViews>
    <workbookView xWindow="-108" yWindow="-108" windowWidth="23256" windowHeight="12456" xr2:uid="{72032A48-A790-4D90-A75C-8309172A4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9" i="1"/>
  <c r="C25" i="1"/>
  <c r="E10" i="1"/>
  <c r="E11" i="1"/>
  <c r="E12" i="1"/>
  <c r="E13" i="1"/>
  <c r="E14" i="1"/>
  <c r="E15" i="1"/>
  <c r="E16" i="1"/>
  <c r="E17" i="1"/>
  <c r="E18" i="1"/>
  <c r="E19" i="1"/>
  <c r="E6" i="1"/>
  <c r="F26" i="1" s="1"/>
  <c r="E7" i="1"/>
  <c r="F27" i="1" s="1"/>
  <c r="E8" i="1"/>
  <c r="E9" i="1"/>
  <c r="E5" i="1"/>
  <c r="F25" i="1" s="1"/>
  <c r="C23" i="1" l="1"/>
  <c r="F23" i="1"/>
  <c r="C24" i="1"/>
</calcChain>
</file>

<file path=xl/sharedStrings.xml><?xml version="1.0" encoding="utf-8"?>
<sst xmlns="http://schemas.openxmlformats.org/spreadsheetml/2006/main" count="85" uniqueCount="44">
  <si>
    <t>HR Analytics &amp; Workforce Performance</t>
  </si>
  <si>
    <t>Employee ID</t>
  </si>
  <si>
    <t xml:space="preserve">Department </t>
  </si>
  <si>
    <t xml:space="preserve">Year of Experience </t>
  </si>
  <si>
    <t>Monthly Salary</t>
  </si>
  <si>
    <t xml:space="preserve">Annual Salary </t>
  </si>
  <si>
    <t>Performance Rating(1-5)</t>
  </si>
  <si>
    <t xml:space="preserve">High performance </t>
  </si>
  <si>
    <t xml:space="preserve">Traning hours </t>
  </si>
  <si>
    <t xml:space="preserve">E001 </t>
  </si>
  <si>
    <t>Sales</t>
  </si>
  <si>
    <t>YES</t>
  </si>
  <si>
    <t>No</t>
  </si>
  <si>
    <t>E002</t>
  </si>
  <si>
    <t>HR</t>
  </si>
  <si>
    <t>NO</t>
  </si>
  <si>
    <t>E003</t>
  </si>
  <si>
    <t>IT</t>
  </si>
  <si>
    <t>E004</t>
  </si>
  <si>
    <t>Yes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</si>
  <si>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</si>
  <si>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</si>
  <si>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</si>
  <si>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</si>
  <si>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</si>
  <si>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</si>
  <si>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</si>
  <si>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</si>
  <si>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</si>
  <si>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</si>
  <si>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</si>
  <si>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HR Metric Calculation</t>
  </si>
  <si>
    <t>Annual Salary</t>
  </si>
  <si>
    <t>Average Performance Rating</t>
  </si>
  <si>
    <t>Column 1</t>
  </si>
  <si>
    <t>Average Training Hours</t>
  </si>
  <si>
    <t>HR ANALYSIS AND USE</t>
  </si>
  <si>
    <t>COUNTIF()</t>
  </si>
  <si>
    <t>AVERAGEIF()</t>
  </si>
  <si>
    <t>Sales()</t>
  </si>
  <si>
    <t>HR()</t>
  </si>
  <si>
    <t>IT()</t>
  </si>
  <si>
    <t xml:space="preserve">Attrition Risk 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</si>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</sst>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5" fillId="0" borderId="0" xfId="1" applyFont="1" applyFill="1" applyBorder="1" applyAlignment="1"/>
    <xf numFmtId="0" fontId="2" fillId="2" borderId="2" xfId="1" applyBorder="1"/>
    <xf numFmtId="0" fontId="3" fillId="4" borderId="2" xfId="1" applyFont="1" applyFill="1" applyBorder="1" applyAlignment="1">
      <alignment horizontal="center"/>
    </xf>
    <xf numFmtId="0" fontId="2" fillId="2" borderId="2" xfId="1" applyBorder="1" applyAlignment="1">
      <alignment horizontal="center"/>
    </xf>
    <xf numFmtId="0" fontId="2" fillId="2" borderId="2" xfId="1" applyBorder="1" applyAlignment="1">
      <alignment horizontal="right"/>
    </xf>
    <xf numFmtId="0" fontId="0" fillId="0" borderId="2" xfId="0" applyBorder="1"/>
    <xf numFmtId="0" fontId="5" fillId="3" borderId="2" xfId="0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1" defaultTableStyle="TableStyleMedium2" defaultPivotStyle="PivotStyleLight16">
    <tableStyle name="Table Style 1" pivot="0" count="0" xr9:uid="{1834C583-EEF2-4CAE-AA7D-4B0454A58F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Attribution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2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32-4466-B784-92B49FAFD6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332-4466-B784-92B49FAFD6E7}"/>
              </c:ext>
            </c:extLst>
          </c:dPt>
          <c:dLbls>
            <c:dLbl>
              <c:idx val="0"/>
              <c:layout>
                <c:manualLayout>
                  <c:x val="6.5277777777777685E-2"/>
                  <c:y val="3.7192003719200353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2165135608048995E-2"/>
                      <c:h val="0.182305245317138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332-4466-B784-92B49FAFD6E7}"/>
                </c:ext>
              </c:extLst>
            </c:dLbl>
            <c:dLbl>
              <c:idx val="1"/>
              <c:layout>
                <c:manualLayout>
                  <c:x val="-3.1944444444444497E-2"/>
                  <c:y val="4.1841004184100319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1054024496937882E-2"/>
                      <c:h val="0.173007244387338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332-4466-B784-92B49FAFD6E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Sheet1!$A$28:$A$29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Sheet1!$B$28:$B$29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2-4466-B784-92B49FAFD6E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Performance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713648293963255"/>
          <c:y val="0.17171296296296298"/>
          <c:w val="0.8523079615048119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Sheet1!$E$25:$E$27</c:f>
              <c:strCache>
                <c:ptCount val="3"/>
                <c:pt idx="0">
                  <c:v>Sales()</c:v>
                </c:pt>
                <c:pt idx="1">
                  <c:v>HR()</c:v>
                </c:pt>
                <c:pt idx="2">
                  <c:v>IT()</c:v>
                </c:pt>
              </c:strCache>
            </c:strRef>
          </c:cat>
          <c:val>
            <c:numRef>
              <c:f>Sheet1!$F$25:$F$27</c:f>
              <c:numCache>
                <c:formatCode>General</c:formatCode>
                <c:ptCount val="3"/>
                <c:pt idx="0">
                  <c:v>75360</c:v>
                </c:pt>
                <c:pt idx="1">
                  <c:v>90480</c:v>
                </c:pt>
                <c:pt idx="2">
                  <c:v>67680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9-4DFE-8A8C-5A9C69E92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21931440"/>
        <c:axId val="721928080"/>
      </c:barChart>
      <c:catAx>
        <c:axId val="72193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928080"/>
        <c:crosses val="autoZero"/>
        <c:auto val="1"/>
        <c:lblAlgn val="ctr"/>
        <c:lblOffset val="100"/>
        <c:noMultiLvlLbl val="0"/>
      </c:catAx>
      <c:valAx>
        <c:axId val="7219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931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20</xdr:row>
      <xdr:rowOff>30480</xdr:rowOff>
    </xdr:from>
    <xdr:to>
      <xdr:col>10</xdr:col>
      <xdr:colOff>365760</xdr:colOff>
      <xdr:row>34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1535C-6844-9BE4-A531-ABB405828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29</xdr:row>
      <xdr:rowOff>179070</xdr:rowOff>
    </xdr:from>
    <xdr:to>
      <xdr:col>5</xdr:col>
      <xdr:colOff>914400</xdr:colOff>
      <xdr:row>44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1E87BF-D03E-B9C5-54FD-73A734667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4CA5-AB33-40CB-8589-992F6632A068}">
  <dimension ref="A3:L29"/>
  <sheetViews>
    <sheetView tabSelected="1" workbookViewId="0">
      <selection activeCell="K15" sqref="K15"/>
    </sheetView>
  </sheetViews>
  <sheetFormatPr defaultRowHeight="14.4" x14ac:dyDescent="0.3"/>
  <cols>
    <col min="1" max="1" width="15.33203125" customWidth="1"/>
    <col min="2" max="2" width="15.44140625" customWidth="1"/>
    <col min="3" max="3" width="18.88671875" customWidth="1"/>
    <col min="4" max="4" width="14.44140625" customWidth="1"/>
    <col min="5" max="5" width="15.109375" customWidth="1"/>
    <col min="6" max="6" width="21" customWidth="1"/>
    <col min="7" max="7" width="19.44140625" customWidth="1"/>
    <col min="8" max="8" width="15.88671875" customWidth="1"/>
    <col min="9" max="9" width="19.77734375" customWidth="1"/>
  </cols>
  <sheetData>
    <row r="3" spans="1:12" ht="31.2" x14ac:dyDescent="0.6">
      <c r="A3" s="11" t="s">
        <v>0</v>
      </c>
      <c r="B3" s="11"/>
      <c r="C3" s="11"/>
      <c r="D3" s="11"/>
      <c r="E3" s="11"/>
      <c r="F3" s="11"/>
      <c r="G3" s="11"/>
      <c r="H3" s="11"/>
      <c r="I3" s="11"/>
      <c r="J3" s="2"/>
      <c r="K3" s="2"/>
      <c r="L3" s="2"/>
    </row>
    <row r="4" spans="1:12" x14ac:dyDescent="0.3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42</v>
      </c>
    </row>
    <row r="5" spans="1:12" x14ac:dyDescent="0.3">
      <c r="A5" s="6" t="s">
        <v>9</v>
      </c>
      <c r="B5" s="6" t="s">
        <v>10</v>
      </c>
      <c r="C5" s="6">
        <v>4</v>
      </c>
      <c r="D5" s="6">
        <v>8500</v>
      </c>
      <c r="E5" s="6">
        <f>SUM(D5*12)</f>
        <v>102000</v>
      </c>
      <c r="F5" s="6">
        <v>4</v>
      </c>
      <c r="G5" s="6" t="s">
        <v>11</v>
      </c>
      <c r="H5" s="6">
        <v>19</v>
      </c>
      <c r="I5" s="6" t="s">
        <v>12</v>
      </c>
    </row>
    <row r="6" spans="1:12" x14ac:dyDescent="0.3">
      <c r="A6" s="6" t="s">
        <v>13</v>
      </c>
      <c r="B6" s="6" t="s">
        <v>14</v>
      </c>
      <c r="C6" s="6">
        <v>9</v>
      </c>
      <c r="D6" s="6">
        <v>7000</v>
      </c>
      <c r="E6" s="6">
        <f t="shared" ref="E6:E19" si="0">SUM(D6*12)</f>
        <v>84000</v>
      </c>
      <c r="F6" s="6">
        <v>1</v>
      </c>
      <c r="G6" s="6" t="s">
        <v>15</v>
      </c>
      <c r="H6" s="6">
        <v>13</v>
      </c>
      <c r="I6" s="6" t="s">
        <v>12</v>
      </c>
    </row>
    <row r="7" spans="1:12" x14ac:dyDescent="0.3">
      <c r="A7" s="6" t="s">
        <v>16</v>
      </c>
      <c r="B7" s="6" t="s">
        <v>17</v>
      </c>
      <c r="C7" s="6">
        <v>10</v>
      </c>
      <c r="D7" s="6">
        <v>5500</v>
      </c>
      <c r="E7" s="6">
        <f t="shared" si="0"/>
        <v>66000</v>
      </c>
      <c r="F7" s="6">
        <v>5</v>
      </c>
      <c r="G7" s="6" t="s">
        <v>11</v>
      </c>
      <c r="H7" s="6">
        <v>16</v>
      </c>
      <c r="I7" s="6" t="s">
        <v>12</v>
      </c>
    </row>
    <row r="8" spans="1:12" x14ac:dyDescent="0.3">
      <c r="A8" s="6" t="s">
        <v>18</v>
      </c>
      <c r="B8" s="6" t="s">
        <v>10</v>
      </c>
      <c r="C8" s="6">
        <v>5</v>
      </c>
      <c r="D8" s="6">
        <v>3000</v>
      </c>
      <c r="E8" s="6">
        <f t="shared" si="0"/>
        <v>36000</v>
      </c>
      <c r="F8" s="6">
        <v>2</v>
      </c>
      <c r="G8" s="6" t="s">
        <v>15</v>
      </c>
      <c r="H8" s="6">
        <v>17</v>
      </c>
      <c r="I8" s="6" t="s">
        <v>19</v>
      </c>
    </row>
    <row r="9" spans="1:12" x14ac:dyDescent="0.3">
      <c r="A9" s="6" t="s">
        <v>20</v>
      </c>
      <c r="B9" s="6" t="s">
        <v>14</v>
      </c>
      <c r="C9" s="6">
        <v>8</v>
      </c>
      <c r="D9" s="6">
        <v>9000</v>
      </c>
      <c r="E9" s="6">
        <f t="shared" si="0"/>
        <v>108000</v>
      </c>
      <c r="F9" s="6">
        <v>3</v>
      </c>
      <c r="G9" s="6" t="s">
        <v>11</v>
      </c>
      <c r="H9" s="6">
        <v>12</v>
      </c>
      <c r="I9" s="6" t="s">
        <v>12</v>
      </c>
    </row>
    <row r="10" spans="1:12" x14ac:dyDescent="0.3">
      <c r="A10" s="6" t="s">
        <v>21</v>
      </c>
      <c r="B10" s="6" t="s">
        <v>17</v>
      </c>
      <c r="C10" s="6">
        <v>6</v>
      </c>
      <c r="D10" s="6">
        <v>7000</v>
      </c>
      <c r="E10" s="6">
        <f t="shared" si="0"/>
        <v>84000</v>
      </c>
      <c r="F10" s="6">
        <v>1</v>
      </c>
      <c r="G10" s="6" t="s">
        <v>15</v>
      </c>
      <c r="H10" s="6">
        <v>10</v>
      </c>
      <c r="I10" s="6" t="s">
        <v>12</v>
      </c>
    </row>
    <row r="11" spans="1:12" x14ac:dyDescent="0.3">
      <c r="A11" s="6" t="s">
        <v>22</v>
      </c>
      <c r="B11" s="6" t="s">
        <v>10</v>
      </c>
      <c r="C11" s="6">
        <v>4</v>
      </c>
      <c r="D11" s="6">
        <v>8500</v>
      </c>
      <c r="E11" s="6">
        <f t="shared" si="0"/>
        <v>102000</v>
      </c>
      <c r="F11" s="6">
        <v>4</v>
      </c>
      <c r="G11" s="6" t="s">
        <v>15</v>
      </c>
      <c r="H11" s="6">
        <v>7</v>
      </c>
      <c r="I11" s="6" t="s">
        <v>12</v>
      </c>
    </row>
    <row r="12" spans="1:12" x14ac:dyDescent="0.3">
      <c r="A12" s="6" t="s">
        <v>23</v>
      </c>
      <c r="B12" s="6" t="s">
        <v>14</v>
      </c>
      <c r="C12" s="6">
        <v>3</v>
      </c>
      <c r="D12" s="6">
        <v>6000</v>
      </c>
      <c r="E12" s="6">
        <f t="shared" si="0"/>
        <v>72000</v>
      </c>
      <c r="F12" s="6">
        <v>3</v>
      </c>
      <c r="G12" s="6" t="s">
        <v>11</v>
      </c>
      <c r="H12" s="6">
        <v>6</v>
      </c>
      <c r="I12" s="6" t="s">
        <v>19</v>
      </c>
    </row>
    <row r="13" spans="1:12" x14ac:dyDescent="0.3">
      <c r="A13" s="6" t="s">
        <v>24</v>
      </c>
      <c r="B13" s="6" t="s">
        <v>17</v>
      </c>
      <c r="C13" s="6">
        <v>4</v>
      </c>
      <c r="D13" s="6">
        <v>6200</v>
      </c>
      <c r="E13" s="6">
        <f t="shared" si="0"/>
        <v>74400</v>
      </c>
      <c r="F13" s="6">
        <v>5</v>
      </c>
      <c r="G13" s="6" t="s">
        <v>11</v>
      </c>
      <c r="H13" s="6">
        <v>4</v>
      </c>
      <c r="I13" s="6" t="s">
        <v>12</v>
      </c>
    </row>
    <row r="14" spans="1:12" x14ac:dyDescent="0.3">
      <c r="A14" s="6" t="s">
        <v>25</v>
      </c>
      <c r="B14" s="6" t="s">
        <v>10</v>
      </c>
      <c r="C14" s="6">
        <v>6</v>
      </c>
      <c r="D14" s="6">
        <v>6600</v>
      </c>
      <c r="E14" s="6">
        <f t="shared" si="0"/>
        <v>79200</v>
      </c>
      <c r="F14" s="6">
        <v>4</v>
      </c>
      <c r="G14" s="6" t="s">
        <v>15</v>
      </c>
      <c r="H14" s="6">
        <v>15</v>
      </c>
      <c r="I14" s="6" t="s">
        <v>12</v>
      </c>
    </row>
    <row r="15" spans="1:12" x14ac:dyDescent="0.3">
      <c r="A15" s="6" t="s">
        <v>26</v>
      </c>
      <c r="B15" s="6" t="s">
        <v>14</v>
      </c>
      <c r="C15" s="6">
        <v>8</v>
      </c>
      <c r="D15" s="6">
        <v>8200</v>
      </c>
      <c r="E15" s="6">
        <f t="shared" si="0"/>
        <v>98400</v>
      </c>
      <c r="F15" s="6">
        <v>1</v>
      </c>
      <c r="G15" s="6" t="s">
        <v>15</v>
      </c>
      <c r="H15" s="6">
        <v>20</v>
      </c>
      <c r="I15" s="6" t="s">
        <v>12</v>
      </c>
    </row>
    <row r="16" spans="1:12" x14ac:dyDescent="0.3">
      <c r="A16" s="6" t="s">
        <v>27</v>
      </c>
      <c r="B16" s="6" t="s">
        <v>17</v>
      </c>
      <c r="C16" s="6">
        <v>4</v>
      </c>
      <c r="D16" s="6">
        <v>4500</v>
      </c>
      <c r="E16" s="6">
        <f t="shared" si="0"/>
        <v>54000</v>
      </c>
      <c r="F16" s="6">
        <v>2</v>
      </c>
      <c r="G16" s="6" t="s">
        <v>11</v>
      </c>
      <c r="H16" s="6">
        <v>14</v>
      </c>
      <c r="I16" s="6" t="s">
        <v>12</v>
      </c>
    </row>
    <row r="17" spans="1:9" x14ac:dyDescent="0.3">
      <c r="A17" s="6" t="s">
        <v>28</v>
      </c>
      <c r="B17" s="6" t="s">
        <v>10</v>
      </c>
      <c r="C17" s="6">
        <v>5</v>
      </c>
      <c r="D17" s="6">
        <v>4800</v>
      </c>
      <c r="E17" s="6">
        <f t="shared" si="0"/>
        <v>57600</v>
      </c>
      <c r="F17" s="6">
        <v>4</v>
      </c>
      <c r="G17" s="6" t="s">
        <v>11</v>
      </c>
      <c r="H17" s="6">
        <v>11</v>
      </c>
      <c r="I17" s="6" t="s">
        <v>19</v>
      </c>
    </row>
    <row r="18" spans="1:9" x14ac:dyDescent="0.3">
      <c r="A18" s="6" t="s">
        <v>29</v>
      </c>
      <c r="B18" s="6" t="s">
        <v>14</v>
      </c>
      <c r="C18" s="6">
        <v>6</v>
      </c>
      <c r="D18" s="6">
        <v>7500</v>
      </c>
      <c r="E18" s="6">
        <f t="shared" si="0"/>
        <v>90000</v>
      </c>
      <c r="F18" s="6">
        <v>2</v>
      </c>
      <c r="G18" s="6" t="s">
        <v>15</v>
      </c>
      <c r="H18" s="6">
        <v>10</v>
      </c>
      <c r="I18" s="6" t="s">
        <v>12</v>
      </c>
    </row>
    <row r="19" spans="1:9" x14ac:dyDescent="0.3">
      <c r="A19" s="6" t="s">
        <v>30</v>
      </c>
      <c r="B19" s="6" t="s">
        <v>17</v>
      </c>
      <c r="C19" s="6">
        <v>4</v>
      </c>
      <c r="D19" s="6">
        <v>5000</v>
      </c>
      <c r="E19" s="6">
        <f t="shared" si="0"/>
        <v>60000</v>
      </c>
      <c r="F19" s="6">
        <v>1</v>
      </c>
      <c r="G19" s="6" t="s">
        <v>11</v>
      </c>
      <c r="H19" s="6">
        <v>5</v>
      </c>
      <c r="I19" s="6" t="s">
        <v>12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2" spans="1:9" ht="23.4" x14ac:dyDescent="0.45">
      <c r="A22" s="9" t="s">
        <v>31</v>
      </c>
      <c r="B22" s="9"/>
      <c r="C22" s="9"/>
      <c r="E22" s="10" t="s">
        <v>36</v>
      </c>
      <c r="F22" s="10"/>
    </row>
    <row r="23" spans="1:9" x14ac:dyDescent="0.3">
      <c r="A23" s="4" t="s">
        <v>32</v>
      </c>
      <c r="B23" s="4" t="s">
        <v>34</v>
      </c>
      <c r="C23" s="4">
        <f>AVERAGEIF(B5:B19,"sales",E5:E19)</f>
        <v>75360</v>
      </c>
      <c r="E23" s="4" t="s">
        <v>37</v>
      </c>
      <c r="F23" s="4">
        <f>COUNT(E5:E19)</f>
        <v>15</v>
      </c>
    </row>
    <row r="24" spans="1:9" x14ac:dyDescent="0.3">
      <c r="A24" s="4" t="s">
        <v>33</v>
      </c>
      <c r="B24" s="4"/>
      <c r="C24" s="4">
        <f>AVERAGE(E5:E19)</f>
        <v>77840</v>
      </c>
      <c r="E24" s="4" t="s">
        <v>38</v>
      </c>
      <c r="F24" s="7" t="s">
        <v>32</v>
      </c>
    </row>
    <row r="25" spans="1:9" x14ac:dyDescent="0.3">
      <c r="A25" s="4" t="s">
        <v>35</v>
      </c>
      <c r="B25" s="4"/>
      <c r="C25" s="4">
        <f>AVERAGE(H5:H19)</f>
        <v>11.933333333333334</v>
      </c>
      <c r="E25" s="4" t="s">
        <v>39</v>
      </c>
      <c r="F25" s="4">
        <f>AVERAGEIF(B5:B19,"Sales",E5:E19)</f>
        <v>75360</v>
      </c>
    </row>
    <row r="26" spans="1:9" x14ac:dyDescent="0.3">
      <c r="E26" s="4" t="s">
        <v>40</v>
      </c>
      <c r="F26" s="4">
        <f>AVERAGEIF(B5:B19,"HR",E5:E19)</f>
        <v>90480</v>
      </c>
    </row>
    <row r="27" spans="1:9" ht="21" x14ac:dyDescent="0.4">
      <c r="A27" s="12" t="s">
        <v>43</v>
      </c>
      <c r="B27" s="13"/>
      <c r="E27" s="4" t="s">
        <v>41</v>
      </c>
      <c r="F27" s="4">
        <f>AVERAGEIF(B5:B19,"IT",E5:E19)</f>
        <v>67680</v>
      </c>
    </row>
    <row r="28" spans="1:9" ht="14.4" customHeight="1" x14ac:dyDescent="0.45">
      <c r="A28" s="4" t="s">
        <v>19</v>
      </c>
      <c r="B28" s="8">
        <f>COUNTIF(G5:G19,"Yes")</f>
        <v>8</v>
      </c>
      <c r="F28" s="3"/>
    </row>
    <row r="29" spans="1:9" x14ac:dyDescent="0.3">
      <c r="A29" s="4" t="s">
        <v>12</v>
      </c>
      <c r="B29" s="8">
        <f>COUNTIF(G2:G16,"No")</f>
        <v>6</v>
      </c>
    </row>
  </sheetData>
  <mergeCells count="4">
    <mergeCell ref="A22:C22"/>
    <mergeCell ref="E22:F22"/>
    <mergeCell ref="A3:I3"/>
    <mergeCell ref="A27:B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Kajale</dc:creator>
  <cp:lastModifiedBy>Kartik Kajale</cp:lastModifiedBy>
  <dcterms:created xsi:type="dcterms:W3CDTF">2026-02-13T09:52:21Z</dcterms:created>
  <dcterms:modified xsi:type="dcterms:W3CDTF">2026-02-16T14:33:17Z</dcterms:modified>
</cp:coreProperties>
</file>